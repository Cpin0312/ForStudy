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sadfs33.hsad.hitachi-solutions.co.jp\cru22\プロジェクト3\西武SPC\doc\90_個人\mizobe\リアル電文送信用Excel\"/>
    </mc:Choice>
  </mc:AlternateContent>
  <xr:revisionPtr revIDLastSave="0" documentId="13_ncr:1_{FBD65920-D30B-4865-8F32-6F92218CB0DF}" xr6:coauthVersionLast="43" xr6:coauthVersionMax="43" xr10:uidLastSave="{00000000-0000-0000-0000-000000000000}"/>
  <bookViews>
    <workbookView xWindow="-120" yWindow="-120" windowWidth="29040" windowHeight="15225" tabRatio="838" activeTab="4" xr2:uid="{00000000-000D-0000-FFFF-FFFF00000000}"/>
  </bookViews>
  <sheets>
    <sheet name="共通設定値" sheetId="1" r:id="rId1"/>
    <sheet name="使用方法" sheetId="2" r:id="rId2"/>
    <sheet name="★テンプレート" sheetId="3" r:id="rId3"/>
    <sheet name="項目名" sheetId="27" state="hidden" r:id="rId4"/>
    <sheet name="IF1060_PI" sheetId="32" r:id="rId5"/>
    <sheet name="IF9000_CRM" sheetId="33" r:id="rId6"/>
    <sheet name="IF9140_WEB" sheetId="34" r:id="rId7"/>
  </sheets>
  <functionGroups builtInGroupCount="19"/>
  <calcPr calcId="191029"/>
  <customWorkbookViews>
    <customWorkbookView name="HISOL中村 - 個人用ビュー" guid="{713FC75E-AADE-44AD-B2AA-5D63E9472B67}" mergeInterval="0" personalView="1" maximized="1" windowWidth="1346" windowHeight="552" tabRatio="838" activeSheetId="5"/>
    <customWorkbookView name="鏡味 - 個人用ビュー" guid="{E98BF95A-7ED6-4B0B-8907-C5A38FFF3ED8}" mergeInterval="0" personalView="1" maximized="1" windowWidth="1916" windowHeight="780" tabRatio="838" activeSheetId="21"/>
    <customWorkbookView name="inui(TFC) - 個人用ビュー" guid="{45578662-6FBF-4681-81C5-CEBCFF726519}" mergeInterval="0" personalView="1" maximized="1" windowWidth="1916" windowHeight="832" tabRatio="838" activeSheetId="22"/>
    <customWorkbookView name="inui - 個人用ビュー" guid="{7F0D5A42-E3C9-43F0-AD48-3918E9B5B3FF}" mergeInterval="0" personalView="1" maximized="1" windowWidth="1916" windowHeight="850" tabRatio="838" activeSheetId="5"/>
    <customWorkbookView name="山本準 - 個人用ビュー" guid="{58AA5558-1303-4FBC-AB7B-E0F77F1E425C}" mergeInterval="0" personalView="1" maximized="1" windowWidth="1916" windowHeight="831" tabRatio="838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32" l="1"/>
  <c r="C1" i="3"/>
  <c r="C1" i="33"/>
  <c r="C1" i="34"/>
  <c r="C7" i="1"/>
  <c r="C5" i="1"/>
  <c r="C6" i="1"/>
  <c r="C4" i="1"/>
  <c r="A41" i="34" l="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1" i="3" l="1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C9" i="1" l="1"/>
</calcChain>
</file>

<file path=xl/sharedStrings.xml><?xml version="1.0" encoding="utf-8"?>
<sst xmlns="http://schemas.openxmlformats.org/spreadsheetml/2006/main" count="258" uniqueCount="213">
  <si>
    <t>キー</t>
    <phoneticPr fontId="2"/>
  </si>
  <si>
    <t>値</t>
    <rPh sb="0" eb="1">
      <t>アタイ</t>
    </rPh>
    <phoneticPr fontId="2"/>
  </si>
  <si>
    <t>URL</t>
    <phoneticPr fontId="2"/>
  </si>
  <si>
    <t>処理日時</t>
    <rPh sb="0" eb="2">
      <t>ショリ</t>
    </rPh>
    <rPh sb="2" eb="4">
      <t>ニチジ</t>
    </rPh>
    <phoneticPr fontId="2"/>
  </si>
  <si>
    <t>要求可否</t>
  </si>
  <si>
    <t>○</t>
  </si>
  <si>
    <t>応答電文</t>
  </si>
  <si>
    <t>応答電文：</t>
    <rPh sb="0" eb="2">
      <t>オウトウ</t>
    </rPh>
    <rPh sb="2" eb="4">
      <t>デンブン</t>
    </rPh>
    <phoneticPr fontId="2"/>
  </si>
  <si>
    <t>要求電文：</t>
    <rPh sb="0" eb="2">
      <t>ヨウキュウ</t>
    </rPh>
    <rPh sb="2" eb="4">
      <t>デンブン</t>
    </rPh>
    <phoneticPr fontId="2"/>
  </si>
  <si>
    <t>取引番号</t>
  </si>
  <si>
    <t>接続先リスト</t>
    <rPh sb="0" eb="2">
      <t>セツゾク</t>
    </rPh>
    <rPh sb="2" eb="3">
      <t>サキ</t>
    </rPh>
    <phoneticPr fontId="2"/>
  </si>
  <si>
    <t>ホスト</t>
    <phoneticPr fontId="3"/>
  </si>
  <si>
    <t>接続先</t>
    <rPh sb="0" eb="2">
      <t>セツゾク</t>
    </rPh>
    <rPh sb="2" eb="3">
      <t>サキ</t>
    </rPh>
    <phoneticPr fontId="3"/>
  </si>
  <si>
    <t>ホスト</t>
    <phoneticPr fontId="2"/>
  </si>
  <si>
    <t>ポート</t>
    <phoneticPr fontId="2"/>
  </si>
  <si>
    <t>「★テンプレート」シートをコピーして使用してください。</t>
    <rPh sb="18" eb="20">
      <t>シヨウ</t>
    </rPh>
    <phoneticPr fontId="2"/>
  </si>
  <si>
    <t>要求電文
(マクロで設定)</t>
    <rPh sb="10" eb="12">
      <t>セッテイ</t>
    </rPh>
    <phoneticPr fontId="2"/>
  </si>
  <si>
    <t>項番</t>
    <rPh sb="0" eb="1">
      <t>コウ</t>
    </rPh>
    <rPh sb="1" eb="2">
      <t>バン</t>
    </rPh>
    <phoneticPr fontId="2"/>
  </si>
  <si>
    <t>②データ部の入力</t>
    <rPh sb="4" eb="5">
      <t>ブ</t>
    </rPh>
    <rPh sb="6" eb="8">
      <t>ニュウリョク</t>
    </rPh>
    <phoneticPr fontId="2"/>
  </si>
  <si>
    <t>①列名の入力</t>
    <rPh sb="1" eb="2">
      <t>レツ</t>
    </rPh>
    <rPh sb="2" eb="3">
      <t>メイ</t>
    </rPh>
    <rPh sb="4" eb="6">
      <t>ニュウリョク</t>
    </rPh>
    <phoneticPr fontId="2"/>
  </si>
  <si>
    <t>送信したい電文のI/Fにあわせ項目名を更新する</t>
  </si>
  <si>
    <t>③送信対象データの設定</t>
    <rPh sb="1" eb="3">
      <t>ソウシン</t>
    </rPh>
    <rPh sb="3" eb="5">
      <t>タイショウ</t>
    </rPh>
    <rPh sb="9" eb="11">
      <t>セッテイ</t>
    </rPh>
    <phoneticPr fontId="2"/>
  </si>
  <si>
    <t>項番が入力されており、且つ要求可否が「○」になっている行が送信対象の電文となります</t>
    <rPh sb="0" eb="1">
      <t>コウ</t>
    </rPh>
    <rPh sb="1" eb="2">
      <t>バン</t>
    </rPh>
    <rPh sb="3" eb="5">
      <t>ニュウリョク</t>
    </rPh>
    <rPh sb="11" eb="12">
      <t>カ</t>
    </rPh>
    <rPh sb="13" eb="15">
      <t>ヨウキュウ</t>
    </rPh>
    <rPh sb="15" eb="17">
      <t>カヒ</t>
    </rPh>
    <rPh sb="27" eb="28">
      <t>ギョウ</t>
    </rPh>
    <rPh sb="29" eb="31">
      <t>ソウシン</t>
    </rPh>
    <rPh sb="31" eb="33">
      <t>タイショウ</t>
    </rPh>
    <rPh sb="34" eb="36">
      <t>デンブン</t>
    </rPh>
    <phoneticPr fontId="2"/>
  </si>
  <si>
    <t>④送信</t>
    <rPh sb="1" eb="3">
      <t>ソウシン</t>
    </rPh>
    <phoneticPr fontId="2"/>
  </si>
  <si>
    <t>リクエスト送信を実行することで、APサーバへ電文が送信されます</t>
  </si>
  <si>
    <t>リクエスト電文の作成手順</t>
    <rPh sb="5" eb="7">
      <t>デンブン</t>
    </rPh>
    <rPh sb="8" eb="10">
      <t>サクセイ</t>
    </rPh>
    <rPh sb="10" eb="12">
      <t>テジュン</t>
    </rPh>
    <phoneticPr fontId="2"/>
  </si>
  <si>
    <t>各項目に対し値を入力する。尚、NULLを指定する場合は、(null)を記述してください。</t>
    <rPh sb="0" eb="1">
      <t>カク</t>
    </rPh>
    <rPh sb="1" eb="3">
      <t>コウモク</t>
    </rPh>
    <rPh sb="4" eb="5">
      <t>タイ</t>
    </rPh>
    <rPh sb="6" eb="7">
      <t>アタイ</t>
    </rPh>
    <rPh sb="8" eb="10">
      <t>ニュウリョク</t>
    </rPh>
    <rPh sb="13" eb="14">
      <t>ナオ</t>
    </rPh>
    <rPh sb="20" eb="22">
      <t>シテイ</t>
    </rPh>
    <rPh sb="24" eb="26">
      <t>バアイ</t>
    </rPh>
    <rPh sb="35" eb="37">
      <t>キジュツ</t>
    </rPh>
    <phoneticPr fontId="2"/>
  </si>
  <si>
    <t>XXXXXXXXXXXXXXXXXXXXXXXXXXXXXXXXXXXXXXX</t>
    <phoneticPr fontId="2"/>
  </si>
  <si>
    <t>リクエスト送信を実行すると、受信した応答電文が以下の欄に出力されます</t>
    <rPh sb="5" eb="7">
      <t>ソウシン</t>
    </rPh>
    <rPh sb="8" eb="10">
      <t>ジッコウ</t>
    </rPh>
    <rPh sb="14" eb="16">
      <t>ジュシン</t>
    </rPh>
    <rPh sb="18" eb="20">
      <t>オウトウ</t>
    </rPh>
    <rPh sb="20" eb="22">
      <t>デンブン</t>
    </rPh>
    <rPh sb="23" eb="25">
      <t>イカ</t>
    </rPh>
    <rPh sb="26" eb="27">
      <t>ラン</t>
    </rPh>
    <rPh sb="28" eb="30">
      <t>シュツリョク</t>
    </rPh>
    <phoneticPr fontId="2"/>
  </si>
  <si>
    <t>localhost</t>
    <phoneticPr fontId="2"/>
  </si>
  <si>
    <t>CT1</t>
    <phoneticPr fontId="2"/>
  </si>
  <si>
    <t>/crm/XmlDataService</t>
  </si>
  <si>
    <t>インターフェース</t>
    <phoneticPr fontId="2"/>
  </si>
  <si>
    <t>文字列コード</t>
    <rPh sb="0" eb="3">
      <t>モジレツ</t>
    </rPh>
    <phoneticPr fontId="2"/>
  </si>
  <si>
    <t>インターフェース</t>
    <phoneticPr fontId="2"/>
  </si>
  <si>
    <t>PI</t>
  </si>
  <si>
    <t>PI</t>
    <phoneticPr fontId="2"/>
  </si>
  <si>
    <t>現行IF</t>
    <rPh sb="0" eb="2">
      <t>ゲンコウ</t>
    </rPh>
    <phoneticPr fontId="2"/>
  </si>
  <si>
    <t>文字列コード</t>
    <rPh sb="0" eb="3">
      <t>モジレツ</t>
    </rPh>
    <phoneticPr fontId="2"/>
  </si>
  <si>
    <t>UTF-8</t>
  </si>
  <si>
    <t>/web/XmlDataService</t>
  </si>
  <si>
    <t>/ifxxxx</t>
  </si>
  <si>
    <t>プロトコル</t>
    <phoneticPr fontId="2"/>
  </si>
  <si>
    <t>http</t>
    <phoneticPr fontId="2"/>
  </si>
  <si>
    <t>10.211.247.103</t>
    <phoneticPr fontId="2"/>
  </si>
  <si>
    <t>localhost</t>
    <phoneticPr fontId="2"/>
  </si>
  <si>
    <t>ポート</t>
  </si>
  <si>
    <t>パス</t>
  </si>
  <si>
    <t>パス</t>
    <phoneticPr fontId="2"/>
  </si>
  <si>
    <t>-</t>
    <phoneticPr fontId="2"/>
  </si>
  <si>
    <t>Window-31J (Shift_JIS)</t>
  </si>
  <si>
    <t>Window-31J (Shift_JIS)</t>
    <phoneticPr fontId="2"/>
  </si>
  <si>
    <t>GFL137</t>
  </si>
  <si>
    <t>GFL138</t>
  </si>
  <si>
    <t>GMK171</t>
  </si>
  <si>
    <t>GPD144</t>
  </si>
  <si>
    <t>GEH028</t>
  </si>
  <si>
    <t>GDD115</t>
  </si>
  <si>
    <t>GDT112</t>
  </si>
  <si>
    <t>GHK132</t>
  </si>
  <si>
    <t>GTC116</t>
  </si>
  <si>
    <t>GKG063</t>
  </si>
  <si>
    <t>GKS203</t>
  </si>
  <si>
    <t>GKS260</t>
  </si>
  <si>
    <t>GKT205</t>
  </si>
  <si>
    <t>GKT204</t>
  </si>
  <si>
    <t>GTB127</t>
  </si>
  <si>
    <t>GME031</t>
  </si>
  <si>
    <t>GPL159</t>
  </si>
  <si>
    <t>GPM162</t>
  </si>
  <si>
    <t>GPF165</t>
  </si>
  <si>
    <t>GPT156</t>
  </si>
  <si>
    <t>GPL160</t>
  </si>
  <si>
    <t>GPM163</t>
  </si>
  <si>
    <t>GPF166</t>
  </si>
  <si>
    <t>GPT157</t>
  </si>
  <si>
    <t>GPL161</t>
  </si>
  <si>
    <t>GPM164</t>
  </si>
  <si>
    <t>GPF167</t>
  </si>
  <si>
    <t>GPT158</t>
  </si>
  <si>
    <t>GPL261</t>
  </si>
  <si>
    <t>GPM262</t>
  </si>
  <si>
    <t>GRP182</t>
  </si>
  <si>
    <t>GRP181</t>
  </si>
  <si>
    <t>GPU143</t>
  </si>
  <si>
    <t>GPU142</t>
  </si>
  <si>
    <t>GPR233</t>
  </si>
  <si>
    <t>GNT232</t>
  </si>
  <si>
    <t>GUK027</t>
  </si>
  <si>
    <t>GUK026</t>
  </si>
  <si>
    <t>GPR154</t>
  </si>
  <si>
    <t>GPR152</t>
  </si>
  <si>
    <t>GRK195</t>
  </si>
  <si>
    <t>GBL104</t>
  </si>
  <si>
    <t>GKC058</t>
  </si>
  <si>
    <t>GKC059</t>
  </si>
  <si>
    <t>GKC060</t>
  </si>
  <si>
    <t>GKC061</t>
  </si>
  <si>
    <t>GLK196</t>
  </si>
  <si>
    <t>GLK197</t>
  </si>
  <si>
    <t>GLK198</t>
  </si>
  <si>
    <t>GLK199</t>
  </si>
  <si>
    <t>GPY150</t>
  </si>
  <si>
    <t>GPC146</t>
  </si>
  <si>
    <t>GPS140</t>
  </si>
  <si>
    <t>GPS139</t>
  </si>
  <si>
    <t>GKU055</t>
  </si>
  <si>
    <t>GYK175</t>
  </si>
  <si>
    <t>GYK177</t>
  </si>
  <si>
    <t>GYK178</t>
  </si>
  <si>
    <t>GYK176</t>
  </si>
  <si>
    <t>GYK179</t>
  </si>
  <si>
    <t>GYK180</t>
  </si>
  <si>
    <t>GDS117</t>
  </si>
  <si>
    <t>ファイルID</t>
  </si>
  <si>
    <t>ファイルIDバージョン</t>
  </si>
  <si>
    <t>モード区分</t>
  </si>
  <si>
    <t>ポイントデータ処理区分</t>
  </si>
  <si>
    <t>営業日付</t>
  </si>
  <si>
    <t>データ発生年月日</t>
  </si>
  <si>
    <t>データ発生時刻</t>
  </si>
  <si>
    <t>発生元区分</t>
  </si>
  <si>
    <t>テナントコード</t>
  </si>
  <si>
    <t>企業コード</t>
  </si>
  <si>
    <t>企業支部コード</t>
  </si>
  <si>
    <t>企業支部コード2</t>
  </si>
  <si>
    <t>企業店舗コード</t>
  </si>
  <si>
    <t>企業端末コード</t>
  </si>
  <si>
    <t>会員ID</t>
  </si>
  <si>
    <t>ポイント大分類1</t>
  </si>
  <si>
    <t>ポイント中分類1</t>
  </si>
  <si>
    <t>ポイント符号1</t>
  </si>
  <si>
    <t>ポイント数1</t>
  </si>
  <si>
    <t>ポイント大分類2</t>
  </si>
  <si>
    <t>ポイント中分類2</t>
  </si>
  <si>
    <t>ポイント符号2</t>
  </si>
  <si>
    <t>ポイント数2</t>
  </si>
  <si>
    <t>ポイント大分類3</t>
  </si>
  <si>
    <t>ポイント中分類3</t>
  </si>
  <si>
    <t>ポイント符号3</t>
  </si>
  <si>
    <t>ポイント数3</t>
  </si>
  <si>
    <t>来店ポイント大分類</t>
  </si>
  <si>
    <t>来店ポイント中分類</t>
  </si>
  <si>
    <t>来店ポイント符号</t>
  </si>
  <si>
    <t>来店ポイント数</t>
  </si>
  <si>
    <t>ポイント対象売上金額符号</t>
  </si>
  <si>
    <t>ポイント対象売上金額</t>
  </si>
  <si>
    <t>売上金額符号</t>
  </si>
  <si>
    <t>売上金額</t>
  </si>
  <si>
    <t>売上対象外金額符号</t>
  </si>
  <si>
    <t>売上対象外金額</t>
  </si>
  <si>
    <t>ポイント利用符号</t>
  </si>
  <si>
    <t>ポイント利用数</t>
  </si>
  <si>
    <t>利用判定日</t>
  </si>
  <si>
    <t>誕生日ポイント最終更新日</t>
  </si>
  <si>
    <t>企画コード1</t>
  </si>
  <si>
    <t>企画コード2</t>
  </si>
  <si>
    <t>企画コード3</t>
  </si>
  <si>
    <t>企画コード4</t>
  </si>
  <si>
    <t>レシート企画コード1</t>
  </si>
  <si>
    <t>レシート企画コード2</t>
  </si>
  <si>
    <t>レシート企画コード3</t>
  </si>
  <si>
    <t>レシート企画コード4</t>
  </si>
  <si>
    <t>ポイント有効期限延長</t>
  </si>
  <si>
    <t>ポイント変動コメント</t>
  </si>
  <si>
    <t>ポイント修正担当者ID</t>
  </si>
  <si>
    <t>ポイント修正承認者ID</t>
  </si>
  <si>
    <t>拡張領域使用有無</t>
  </si>
  <si>
    <t>予備項目A1</t>
  </si>
  <si>
    <t>予備項目A2</t>
  </si>
  <si>
    <t>予備項目A3</t>
  </si>
  <si>
    <t>予備項目B1</t>
  </si>
  <si>
    <t>予備項目B2</t>
  </si>
  <si>
    <t>予備項目B3</t>
  </si>
  <si>
    <t>電文終了識別子</t>
  </si>
  <si>
    <t>インターフェースＩＤ</t>
  </si>
  <si>
    <t>CRM取引番号</t>
  </si>
  <si>
    <t>お客さま番号</t>
  </si>
  <si>
    <t>商品ID</t>
  </si>
  <si>
    <t>端末ID</t>
  </si>
  <si>
    <t>申込数量</t>
  </si>
  <si>
    <t>ID_INTERFACE</t>
  </si>
  <si>
    <t>CRM_TRAN_NO</t>
  </si>
  <si>
    <t>ID_MBR</t>
  </si>
  <si>
    <t>PRODUCT_CD</t>
  </si>
  <si>
    <t>PRIPOCHECKER_ID</t>
  </si>
  <si>
    <t>CNT</t>
  </si>
  <si>
    <t>&lt;?xml version="1.0" encoding="Windows-31J"?&gt;
&lt;xml-data version="1.00" id=""&gt;&lt;single-data&gt;&lt;item value="FPAE0004" type="string" key="ID_INTERFACE"/&gt;&lt;item value="04" type="string" key="RET_CODE"/&gt;&lt;/single-data&gt;&lt;/xml-data&gt;</t>
  </si>
  <si>
    <t>テスト</t>
    <phoneticPr fontId="2"/>
  </si>
  <si>
    <t>漢字</t>
    <rPh sb="0" eb="2">
      <t>カンジ</t>
    </rPh>
    <phoneticPr fontId="2"/>
  </si>
  <si>
    <t>かんじ</t>
    <phoneticPr fontId="2"/>
  </si>
  <si>
    <t>カンジ</t>
    <phoneticPr fontId="2"/>
  </si>
  <si>
    <t>&lt;?xml version="1.0" encoding="UTF-8"?&gt;
&lt;RESPONSE&gt;&lt;RET_CODE&gt;050&lt;/RET_CODE&gt;&lt;ERR_DETAIL_CODE&gt;0002&lt;/ERR_DETAIL_CODE&gt;&lt;ERR_ITEM&gt;ID_MBR&lt;/ERR_ITEM&gt;&lt;ERR_DETAIL_CODE&gt;0003&lt;/ERR_DETAIL_CODE&gt;&lt;ERR_ITEM&gt;ID_MBR&lt;/ERR_ITEM&gt;&lt;ERR_DETAIL_CODE&gt;0002&lt;/ERR_DETAIL_CODE&gt;&lt;ERR_ITEM&gt;EM_ADS&lt;/ERR_ITEM&gt;&lt;ERR_DETAIL_CODE&gt;0002&lt;/ERR_DETAIL_CODE&gt;&lt;ERR_ITEM&gt;SITE_KBN&lt;/ERR_ITEM&gt;&lt;ERR_DETAIL_CODE&gt;0004&lt;/ERR_DETAIL_CODE&gt;&lt;ERR_ITEM&gt;SITE_KBN&lt;/ERR_ITEM&gt;&lt;ERR_DETAIL_CODE&gt;0003&lt;/ERR_DETAIL_CODE&gt;&lt;ERR_ITEM&gt;SITE_KBN&lt;/ERR_ITEM&gt;&lt;TY_MBR_STS&gt;&lt;/TY_MBR_STS&gt;&lt;/RESPONSE&gt;</t>
  </si>
  <si>
    <t>接続先</t>
    <rPh sb="0" eb="3">
      <t>セツゾクサキ</t>
    </rPh>
    <phoneticPr fontId="2"/>
  </si>
  <si>
    <t>/crm/XmlDataService</t>
    <phoneticPr fontId="2"/>
  </si>
  <si>
    <t>FPAE0003</t>
  </si>
  <si>
    <t>DATA=&lt;xml-data id="FPAE0003"&gt;&lt;single-data&gt;&lt;item key="ID_INTERFACE" type="string" value="FPAE0003" /&gt;&lt;item key="CRM_TRAN_NO" type="string" value="%82%A9%82%F1%82%B6" /&gt;&lt;item key="ID_MBR" type="string" value="%83J%83%93%83W" /&gt;&lt;item key="PRODUCT_CD" type="string" value="" /&gt;&lt;item key="PRIPOCHECKER_ID" type="string" value="%83e%83X%83g" /&gt;&lt;item key="CNT" type="string" value="" /&gt;&lt;/single-data&gt;&lt;/xml-data&gt;</t>
  </si>
  <si>
    <t>FCSP0003</t>
  </si>
  <si>
    <t>DATA=&lt;xml-data id="FCSP0003"&gt;&lt;single-data&gt;&lt;item key="GFL137" type="string" value="FCSP0003" /&gt;&lt;item key="GFL138" type="string" value="かんじ" /&gt;&lt;item key="GMK171" type="string" value="カンジ" /&gt;&lt;item key="GPD144" type="string" value="漢字" /&gt;&lt;item key="GEH028" type="string" value="かんじ" /&gt;&lt;item key="GDD115" type="string" value="カンジ" /&gt;&lt;item key="GDT112" type="string" value="" /&gt;&lt;item key="GHK132" type="string" value="" /&gt;&lt;item key="GTC116" type="string" value="" /&gt;&lt;item key="GKG063" type="string" value="" /&gt;&lt;item key="GKS203" type="string" value="" /&gt;&lt;item key="GKS260" type="string" value="" /&gt;&lt;item key="GKT205" type="string" value="" /&gt;&lt;item key="GKT204" type="string" value="" /&gt;&lt;item key="GTB127" type="string" value="" /&gt;&lt;item key="GME031" type="string" value="" /&gt;&lt;item key="GPL159" type="string" value="" /&gt;&lt;item key="GPM162" type="string" value="" /&gt;&lt;item key="GPF165" type="string" value="" /&gt;&lt;item key="GPT156" type="string" value="" /&gt;&lt;item key="GPL160" type="string" value="" /&gt;&lt;item key="GPM163" type="string" value="" /&gt;&lt;item key="GPF166" type="string" value="" /&gt;&lt;item key="GPT157" type="string" value="" /&gt;&lt;item key="GPL161" type="string" value="" /&gt;&lt;item key="GPM164" type="string" value="" /&gt;&lt;item key="GPF167" type="string" value="" /&gt;&lt;item key="GPT158" type="string" value="" /&gt;&lt;item key="GPL261" type="string" value="" /&gt;&lt;item key="GPM262" type="string" value="" /&gt;&lt;item key="GRP182" type="string" value="" /&gt;&lt;item key="GRP181" type="string" value="" /&gt;&lt;item key="GPU143" type="string" value="" /&gt;&lt;item key="GPU142" type="string" value="" /&gt;&lt;item key="GPR233" type="string" value="" /&gt;&lt;item key="GNT232" type="string" value="" /&gt;&lt;item key="GUK027" type="string" value="" /&gt;&lt;item key="GUK026" type="string" value="" /&gt;&lt;item key="GPR154" type="string" value="" /&gt;&lt;item key="GPR152" type="string" value="" /&gt;&lt;item key="GRK195" type="string" value="" /&gt;&lt;item key="GBL104" type="string" value="" /&gt;&lt;item key="GKC058" type="string" value="" /&gt;&lt;item key="GKC059" type="string" value="" /&gt;&lt;item key="GKC060" type="string" value="" /&gt;&lt;item key="GKC061" type="string" value="" /&gt;&lt;item key="GLK196" type="string" value="" /&gt;&lt;item key="GLK197" type="string" value="" /&gt;&lt;item key="GLK198" type="string" value="" /&gt;&lt;item key="GLK199" type="string" value="" /&gt;&lt;item key="GPY150" type="string" value="" /&gt;&lt;item key="GPC146" type="string" value="テスト" /&gt;&lt;item key="GPS140" type="string" value="" /&gt;&lt;item key="GPS139" type="string" value="" /&gt;&lt;item key="GKU055" type="string" value="" /&gt;&lt;item key="GYK175" type="string" value="" /&gt;&lt;item key="GYK177" type="string" value="" /&gt;&lt;item key="GYK178" type="string" value="" /&gt;&lt;item key="GYK176" type="string" value="" /&gt;&lt;item key="GYK179" type="string" value="" /&gt;&lt;item key="GYK180" type="string" value="" /&gt;&lt;item key="GDS117" type="string" value="" /&gt;&lt;/single-data&gt;&lt;/xml-data&gt;</t>
  </si>
  <si>
    <t>ID_MBR=漢字&amp;EM_ADS=かんじ&amp;SITE_KBN=カンジ</t>
  </si>
  <si>
    <t>関数</t>
    <rPh sb="0" eb="2">
      <t>カンスウ</t>
    </rPh>
    <phoneticPr fontId="2"/>
  </si>
  <si>
    <t>=IF(ISBLANK($B$1),"",共通設定値!$C$7&amp;IF(LEFT($B$1,1)="/",$B$1,"/"&amp;$B$1))</t>
    <phoneticPr fontId="2"/>
  </si>
  <si>
    <t>&lt;?xml version="1.0" encoding="UTF-8"?&gt;
&lt;xml-data id="FCSP0003漢字" version="1.00"&gt;&lt;single-data&gt;&lt;item value="FCSP0004" type="string" key="GFL137"/&gt;&lt;item value="かんじ" type="string" key="GFL138"/&gt;&lt;item value="カンジ" type="string" key="GMK171"/&gt;&lt;item value="漢字" type="string" key="GPD144"/&gt;&lt;item value="かんじ" type="string" key="GEH028"/&gt;&lt;item value="カンジ" type="string" key="GDD115"/&gt;&lt;item value="" type="string" key="GDT112"/&gt;&lt;item value="" type="string" key="GHK132"/&gt;&lt;item value="" type="string" key="GTC116"/&gt;&lt;item value="" type="string" key="GKG063"/&gt;&lt;item value="000000" type="string" key="GKS203"/&gt;&lt;item value="000000" type="string" key="GKS260"/&gt;&lt;item value="" type="string" key="GKT205"/&gt;&lt;item value="0000000000000" type="string" key="GKT204"/&gt;&lt;item value="" type="string" key="GTB127"/&gt;&lt;item value="" type="string" key="GME031"/&gt;&lt;item value="E002000002" type="string" key="GST085"/&gt;&lt;item value="" type="string" key="GDS087"/&gt;&lt;item value="20190826" type="string" key="GCS099"/&gt;&lt;item value="113750" type="string" key="GCS098"/&gt;&lt;item value="" type="string" key="GPR154"/&gt;&lt;item value="" type="string" key="GPR152"/&gt;&lt;item value="" type="string" key="GRK183"/&gt;&lt;item value="" type="string" key="GRK191"/&gt;&lt;item value="" type="string" key="GRK187"/&gt;&lt;item value="" type="string" key="GPY149"/&gt;&lt;item value="" type="string" key="GJS082"/&gt;&lt;item value="" type="string" key="GJS081"/&gt;&lt;item value="" type="string" key="GJS083"/&gt;&lt;item value="" type="string" key="GKU055"/&gt;&lt;item value="" type="string" key="GYK175"/&gt;&lt;item value="" type="string" key="GYK177"/&gt;&lt;item value="" type="string" key="GYK178"/&gt;&lt;item value="" type="string" key="GYK176"/&gt;&lt;item value="" type="string" key="GYK179"/&gt;&lt;item value="" type="string" key="GYK180"/&gt;&lt;item value="END" type="string" key="GDS117"/&gt;&lt;/single-data&gt;&lt;/xml-data&gt;</t>
  </si>
  <si>
    <t>送信対象</t>
    <rPh sb="0" eb="2">
      <t>ソウシン</t>
    </rPh>
    <rPh sb="2" eb="4">
      <t>タイショウ</t>
    </rPh>
    <phoneticPr fontId="2"/>
  </si>
  <si>
    <t>「送信対象」列に「○」を付けた行について、電文を飛ばす。</t>
    <rPh sb="6" eb="7">
      <t>レツ</t>
    </rPh>
    <rPh sb="12" eb="13">
      <t>ツ</t>
    </rPh>
    <rPh sb="15" eb="16">
      <t>ギョウ</t>
    </rPh>
    <rPh sb="21" eb="23">
      <t>デンブン</t>
    </rPh>
    <rPh sb="24" eb="25">
      <t>ト</t>
    </rPh>
    <phoneticPr fontId="2"/>
  </si>
  <si>
    <t>⇒項目の続く限りパラメータを設定する。</t>
    <rPh sb="1" eb="3">
      <t>コウモク</t>
    </rPh>
    <rPh sb="4" eb="5">
      <t>ツヅ</t>
    </rPh>
    <rPh sb="6" eb="7">
      <t>カギ</t>
    </rPh>
    <rPh sb="14" eb="16">
      <t>セッテイ</t>
    </rPh>
    <phoneticPr fontId="2"/>
  </si>
  <si>
    <t>internal-stg-spc-pap-int-alb-1979801768.ap-northeast-1.elb.amazonaws.com</t>
    <phoneticPr fontId="2"/>
  </si>
  <si>
    <t>検証環境</t>
    <rPh sb="0" eb="4">
      <t>ケンショウカンキョウ</t>
    </rPh>
    <phoneticPr fontId="2"/>
  </si>
  <si>
    <t>-</t>
    <phoneticPr fontId="2"/>
  </si>
  <si>
    <t>/if1140</t>
    <phoneticPr fontId="2"/>
  </si>
  <si>
    <t>PC</t>
    <phoneticPr fontId="2"/>
  </si>
  <si>
    <t>郵便番号</t>
    <rPh sb="0" eb="4">
      <t>ユウビンバンゴウ</t>
    </rPh>
    <phoneticPr fontId="2"/>
  </si>
  <si>
    <t>9042151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</si>
</sst>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mmddhhmmss"/>
  </numFmts>
  <fonts count="1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4" fillId="0" borderId="0"/>
  </cellStyleXfs>
  <cellXfs count="5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2" applyNumberFormat="1" applyFont="1" applyFill="1" applyBorder="1" applyAlignment="1">
      <alignment horizontal="left" vertical="center" shrinkToFit="1"/>
    </xf>
    <xf numFmtId="4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49" fontId="1" fillId="0" borderId="0" xfId="2" applyNumberFormat="1" applyFont="1" applyFill="1" applyBorder="1" applyAlignment="1">
      <alignment horizontal="left" vertical="center" shrinkToFi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5" fillId="0" borderId="0" xfId="0" applyFont="1" applyAlignment="1">
      <alignment vertical="top" shrinkToFit="1"/>
    </xf>
    <xf numFmtId="176" fontId="1" fillId="0" borderId="1" xfId="2" applyNumberFormat="1" applyFont="1" applyFill="1" applyBorder="1" applyAlignment="1">
      <alignment horizontal="left" vertical="center" shrinkToFit="1"/>
    </xf>
    <xf numFmtId="0" fontId="5" fillId="4" borderId="1" xfId="0" applyFont="1" applyFill="1" applyBorder="1" applyAlignment="1">
      <alignment vertical="top" shrinkToFit="1"/>
    </xf>
    <xf numFmtId="49" fontId="5" fillId="5" borderId="1" xfId="0" applyNumberFormat="1" applyFont="1" applyFill="1" applyBorder="1" applyAlignment="1">
      <alignment vertical="top" shrinkToFit="1"/>
    </xf>
    <xf numFmtId="0" fontId="5" fillId="6" borderId="1" xfId="0" applyFont="1" applyFill="1" applyBorder="1" applyAlignment="1">
      <alignment horizontal="center" vertical="top" shrinkToFit="1"/>
    </xf>
    <xf numFmtId="0" fontId="5" fillId="6" borderId="1" xfId="0" applyNumberFormat="1" applyFont="1" applyFill="1" applyBorder="1" applyAlignment="1">
      <alignment vertical="top" shrinkToFit="1"/>
    </xf>
    <xf numFmtId="0" fontId="5" fillId="0" borderId="0" xfId="0" applyFont="1" applyAlignment="1">
      <alignment vertical="top"/>
    </xf>
    <xf numFmtId="0" fontId="5" fillId="0" borderId="0" xfId="0" applyFont="1" applyBorder="1" applyAlignment="1">
      <alignment vertical="top" shrinkToFit="1"/>
    </xf>
    <xf numFmtId="49" fontId="5" fillId="0" borderId="0" xfId="0" applyNumberFormat="1" applyFont="1" applyFill="1" applyBorder="1" applyAlignment="1">
      <alignment vertical="top" shrinkToFit="1"/>
    </xf>
    <xf numFmtId="0" fontId="5" fillId="0" borderId="0" xfId="0" applyFont="1" applyFill="1" applyBorder="1" applyAlignment="1">
      <alignment vertical="top" shrinkToFit="1"/>
    </xf>
    <xf numFmtId="0" fontId="5" fillId="0" borderId="3" xfId="0" applyFont="1" applyBorder="1" applyAlignment="1">
      <alignment horizontal="center" vertical="top" shrinkToFit="1"/>
    </xf>
    <xf numFmtId="0" fontId="8" fillId="0" borderId="0" xfId="0" applyFont="1" applyAlignment="1">
      <alignment vertical="top"/>
    </xf>
    <xf numFmtId="0" fontId="5" fillId="0" borderId="0" xfId="0" applyFon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7" borderId="1" xfId="0" applyFont="1" applyFill="1" applyBorder="1" applyAlignment="1">
      <alignment vertical="top" shrinkToFit="1"/>
    </xf>
    <xf numFmtId="0" fontId="6" fillId="0" borderId="0" xfId="0" applyFont="1">
      <alignment vertical="center"/>
    </xf>
    <xf numFmtId="0" fontId="5" fillId="7" borderId="1" xfId="0" applyFont="1" applyFill="1" applyBorder="1" applyAlignment="1">
      <alignment vertical="top" shrinkToFit="1"/>
    </xf>
    <xf numFmtId="0" fontId="5" fillId="6" borderId="4" xfId="0" applyFont="1" applyFill="1" applyBorder="1" applyAlignment="1">
      <alignment horizontal="left" vertical="top"/>
    </xf>
    <xf numFmtId="0" fontId="5" fillId="6" borderId="6" xfId="0" applyFont="1" applyFill="1" applyBorder="1" applyAlignment="1">
      <alignment horizontal="left" vertical="top"/>
    </xf>
    <xf numFmtId="0" fontId="5" fillId="7" borderId="1" xfId="0" applyFont="1" applyFill="1" applyBorder="1" applyAlignment="1">
      <alignment vertical="top" shrinkToFit="1"/>
    </xf>
    <xf numFmtId="0" fontId="5" fillId="3" borderId="4" xfId="0" applyFont="1" applyFill="1" applyBorder="1" applyAlignment="1">
      <alignment vertical="top" shrinkToFit="1"/>
    </xf>
    <xf numFmtId="0" fontId="5" fillId="8" borderId="1" xfId="0" applyFont="1" applyFill="1" applyBorder="1" applyAlignment="1">
      <alignment vertical="top" shrinkToFit="1"/>
    </xf>
    <xf numFmtId="49" fontId="0" fillId="0" borderId="1" xfId="0" applyNumberFormat="1" applyBorder="1">
      <alignment vertical="center"/>
    </xf>
    <xf numFmtId="0" fontId="5" fillId="0" borderId="0" xfId="0" quotePrefix="1" applyFont="1" applyAlignment="1">
      <alignment vertical="top" shrinkToFit="1"/>
    </xf>
    <xf numFmtId="0" fontId="0" fillId="0" borderId="0" xfId="0" applyNumberFormat="1" applyAlignment="1">
      <alignment vertical="center"/>
    </xf>
    <xf numFmtId="0" fontId="5" fillId="7" borderId="1" xfId="0" applyNumberFormat="1" applyFont="1" applyFill="1" applyBorder="1" applyAlignment="1">
      <alignment vertical="center" shrinkToFit="1"/>
    </xf>
    <xf numFmtId="0" fontId="0" fillId="0" borderId="1" xfId="0" applyNumberFormat="1" applyBorder="1" applyAlignment="1">
      <alignment vertical="center"/>
    </xf>
    <xf numFmtId="0" fontId="0" fillId="0" borderId="1" xfId="0" quotePrefix="1" applyNumberFormat="1" applyBorder="1" applyAlignment="1">
      <alignment vertical="center"/>
    </xf>
    <xf numFmtId="0" fontId="5" fillId="0" borderId="0" xfId="0" quotePrefix="1" applyNumberFormat="1" applyFont="1" applyAlignment="1">
      <alignment vertical="top" shrinkToFit="1"/>
    </xf>
    <xf numFmtId="0" fontId="5" fillId="3" borderId="4" xfId="0" quotePrefix="1" applyFont="1" applyFill="1" applyBorder="1" applyAlignment="1">
      <alignment vertical="top" shrinkToFit="1"/>
    </xf>
    <xf numFmtId="0" fontId="5" fillId="6" borderId="4" xfId="0" applyFont="1" applyFill="1" applyBorder="1" applyAlignment="1">
      <alignment horizontal="left" vertical="top"/>
    </xf>
    <xf numFmtId="0" fontId="5" fillId="6" borderId="5" xfId="0" applyFont="1" applyFill="1" applyBorder="1" applyAlignment="1">
      <alignment horizontal="left" vertical="top"/>
    </xf>
    <xf numFmtId="0" fontId="5" fillId="6" borderId="6" xfId="0" applyFont="1" applyFill="1" applyBorder="1" applyAlignment="1">
      <alignment horizontal="left" vertical="top"/>
    </xf>
    <xf numFmtId="0" fontId="5" fillId="7" borderId="1" xfId="0" applyFont="1" applyFill="1" applyBorder="1" applyAlignment="1">
      <alignment horizontal="center" vertical="top"/>
    </xf>
    <xf numFmtId="0" fontId="5" fillId="7" borderId="2" xfId="0" applyFont="1" applyFill="1" applyBorder="1" applyAlignment="1">
      <alignment vertical="top" shrinkToFit="1"/>
    </xf>
    <xf numFmtId="0" fontId="5" fillId="7" borderId="7" xfId="0" applyFont="1" applyFill="1" applyBorder="1" applyAlignment="1">
      <alignment vertical="top" shrinkToFit="1"/>
    </xf>
    <xf numFmtId="0" fontId="5" fillId="7" borderId="1" xfId="0" applyFont="1" applyFill="1" applyBorder="1" applyAlignment="1">
      <alignment vertical="top" shrinkToFit="1"/>
    </xf>
    <xf numFmtId="0" fontId="5" fillId="7" borderId="1" xfId="0" applyFont="1" applyFill="1" applyBorder="1" applyAlignment="1">
      <alignment vertical="top" wrapText="1" shrinkToFit="1"/>
    </xf>
    <xf numFmtId="0" fontId="5" fillId="6" borderId="1" xfId="0" applyFont="1" applyFill="1" applyBorder="1" applyAlignment="1">
      <alignment horizontal="left" vertical="top"/>
    </xf>
    <xf numFmtId="0" fontId="5" fillId="7" borderId="8" xfId="0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center" vertical="top"/>
    </xf>
    <xf numFmtId="0" fontId="5" fillId="7" borderId="10" xfId="0" applyFont="1" applyFill="1" applyBorder="1" applyAlignment="1">
      <alignment horizontal="center" vertical="top"/>
    </xf>
    <xf numFmtId="0" fontId="5" fillId="7" borderId="11" xfId="0" applyFont="1" applyFill="1" applyBorder="1" applyAlignment="1">
      <alignment horizontal="center" vertical="top"/>
    </xf>
    <xf numFmtId="0" fontId="5" fillId="7" borderId="2" xfId="0" applyFont="1" applyFill="1" applyBorder="1" applyAlignment="1">
      <alignment vertical="top" wrapText="1" shrinkToFit="1"/>
    </xf>
    <xf numFmtId="0" fontId="5" fillId="7" borderId="7" xfId="0" applyFont="1" applyFill="1" applyBorder="1" applyAlignment="1">
      <alignment vertical="top" wrapText="1" shrinkToFit="1"/>
    </xf>
    <xf numFmtId="0" fontId="5" fillId="9" borderId="1" xfId="0" applyFont="1" applyFill="1" applyBorder="1">
      <alignment vertical="center"/>
    </xf>
  </cellXfs>
  <cellStyles count="3">
    <cellStyle name="標準" xfId="0" builtinId="0"/>
    <cellStyle name="標準 2" xfId="1" xr:uid="{00000000-0005-0000-0000-000001000000}"/>
    <cellStyle name="標準_RBA0A460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123825</xdr:rowOff>
        </xdr:from>
        <xdr:to>
          <xdr:col>1</xdr:col>
          <xdr:colOff>619125</xdr:colOff>
          <xdr:row>7</xdr:row>
          <xdr:rowOff>66675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リクエスト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123825</xdr:rowOff>
        </xdr:from>
        <xdr:to>
          <xdr:col>1</xdr:col>
          <xdr:colOff>619125</xdr:colOff>
          <xdr:row>7</xdr:row>
          <xdr:rowOff>66675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4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リクエスト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123825</xdr:rowOff>
        </xdr:from>
        <xdr:to>
          <xdr:col>1</xdr:col>
          <xdr:colOff>619125</xdr:colOff>
          <xdr:row>7</xdr:row>
          <xdr:rowOff>66675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5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リクエスト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123825</xdr:rowOff>
        </xdr:from>
        <xdr:to>
          <xdr:col>1</xdr:col>
          <xdr:colOff>619125</xdr:colOff>
          <xdr:row>7</xdr:row>
          <xdr:rowOff>66675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リクエスト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15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Relationship Id="rId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J17"/>
  <sheetViews>
    <sheetView showGridLines="0" zoomScale="130" zoomScaleNormal="130" workbookViewId="0"/>
  </sheetViews>
  <sheetFormatPr defaultRowHeight="13.5" x14ac:dyDescent="0.15"/>
  <cols>
    <col min="1" max="1" width="2.625" customWidth="1"/>
    <col min="2" max="2" width="33" bestFit="1" customWidth="1"/>
    <col min="3" max="3" width="29" style="1" customWidth="1"/>
    <col min="8" max="8" width="69.625" bestFit="1" customWidth="1"/>
  </cols>
  <sheetData>
    <row r="2" spans="2:10" x14ac:dyDescent="0.15">
      <c r="B2" s="6" t="s">
        <v>0</v>
      </c>
      <c r="C2" s="8" t="s">
        <v>1</v>
      </c>
      <c r="F2" s="56" t="s">
        <v>10</v>
      </c>
      <c r="G2" s="56" t="s">
        <v>42</v>
      </c>
      <c r="H2" s="56" t="s">
        <v>13</v>
      </c>
      <c r="I2" s="56" t="s">
        <v>14</v>
      </c>
      <c r="J2" s="56" t="s">
        <v>48</v>
      </c>
    </row>
    <row r="3" spans="2:10" x14ac:dyDescent="0.15">
      <c r="B3" s="7" t="s">
        <v>12</v>
      </c>
      <c r="C3" s="22" t="s">
        <v>207</v>
      </c>
      <c r="E3" s="1"/>
      <c r="F3" s="7" t="s">
        <v>29</v>
      </c>
      <c r="G3" s="7" t="s">
        <v>43</v>
      </c>
      <c r="H3" s="7" t="s">
        <v>45</v>
      </c>
      <c r="I3" s="7">
        <v>8080</v>
      </c>
      <c r="J3" s="33" t="s">
        <v>49</v>
      </c>
    </row>
    <row r="4" spans="2:10" x14ac:dyDescent="0.15">
      <c r="B4" s="7" t="s">
        <v>11</v>
      </c>
      <c r="C4" s="23" t="str">
        <f>VLOOKUP(C3,$F$3:$I$10,3,FALSE)</f>
        <v>internal-stg-spc-pap-int-alb-1979801768.ap-northeast-1.elb.amazonaws.com</v>
      </c>
      <c r="E4" s="1"/>
      <c r="F4" s="7" t="s">
        <v>30</v>
      </c>
      <c r="G4" s="7" t="s">
        <v>43</v>
      </c>
      <c r="H4" s="7" t="s">
        <v>44</v>
      </c>
      <c r="I4" s="7">
        <v>8080</v>
      </c>
      <c r="J4" s="7" t="s">
        <v>49</v>
      </c>
    </row>
    <row r="5" spans="2:10" x14ac:dyDescent="0.15">
      <c r="B5" s="7" t="s">
        <v>46</v>
      </c>
      <c r="C5" s="23" t="str">
        <f>IF(VLOOKUP(C3,$F$3:$I$10,4,FALSE)&lt;&gt;0,VLOOKUP(C3,$F$3:$I$10,4,FALSE),"")</f>
        <v>-</v>
      </c>
      <c r="F5" s="7" t="s">
        <v>207</v>
      </c>
      <c r="G5" s="7" t="s">
        <v>43</v>
      </c>
      <c r="H5" s="7" t="s">
        <v>206</v>
      </c>
      <c r="I5" s="7" t="s">
        <v>208</v>
      </c>
      <c r="J5" s="7" t="s">
        <v>49</v>
      </c>
    </row>
    <row r="6" spans="2:10" x14ac:dyDescent="0.15">
      <c r="B6" s="7" t="s">
        <v>47</v>
      </c>
      <c r="C6" s="23" t="str">
        <f>VLOOKUP(C3,$F$3:$J$10,5,FALSE)</f>
        <v>-</v>
      </c>
    </row>
    <row r="7" spans="2:10" x14ac:dyDescent="0.15">
      <c r="B7" s="7" t="s">
        <v>2</v>
      </c>
      <c r="C7" s="24" t="str">
        <f>VLOOKUP(C3,$F$3:$I$101,2,FALSE) &amp; "://" &amp; C4 &amp; IF(OR(C5="",C5="-"),"",":"&amp;C5)&amp; IF(C6="-","",C6)</f>
        <v>http://internal-stg-spc-pap-int-alb-1979801768.ap-northeast-1.elb.amazonaws.com</v>
      </c>
    </row>
    <row r="8" spans="2:10" x14ac:dyDescent="0.15">
      <c r="C8" s="5"/>
      <c r="D8" s="2"/>
      <c r="E8" s="2"/>
      <c r="F8" s="2"/>
      <c r="G8" s="2"/>
      <c r="H8" s="4"/>
      <c r="I8" s="4"/>
      <c r="J8" s="4"/>
    </row>
    <row r="9" spans="2:10" x14ac:dyDescent="0.15">
      <c r="B9" s="7" t="s">
        <v>3</v>
      </c>
      <c r="C9" s="10">
        <f ca="1">NOW()</f>
        <v>43718.465078009256</v>
      </c>
      <c r="D9" s="2"/>
      <c r="E9" s="2"/>
      <c r="F9" s="2"/>
      <c r="G9" s="2"/>
      <c r="H9" s="4"/>
      <c r="I9" s="4"/>
      <c r="J9" s="4"/>
    </row>
    <row r="10" spans="2:10" x14ac:dyDescent="0.15">
      <c r="C10" s="3"/>
      <c r="D10" s="4"/>
      <c r="E10" s="4"/>
      <c r="F10" s="4"/>
      <c r="G10" s="4"/>
      <c r="H10" s="4"/>
      <c r="I10" s="4"/>
      <c r="J10" s="4"/>
    </row>
    <row r="11" spans="2:10" x14ac:dyDescent="0.15">
      <c r="C11" s="3"/>
      <c r="D11" s="4"/>
      <c r="E11" s="4"/>
      <c r="F11" s="4"/>
      <c r="G11" s="4"/>
      <c r="H11" s="4"/>
      <c r="I11" s="4"/>
      <c r="J11" s="4"/>
    </row>
    <row r="12" spans="2:10" x14ac:dyDescent="0.15">
      <c r="C12"/>
    </row>
    <row r="13" spans="2:10" x14ac:dyDescent="0.15">
      <c r="C13"/>
    </row>
    <row r="14" spans="2:10" x14ac:dyDescent="0.15">
      <c r="C14"/>
    </row>
    <row r="15" spans="2:10" x14ac:dyDescent="0.15">
      <c r="C15"/>
    </row>
    <row r="16" spans="2:10" x14ac:dyDescent="0.15">
      <c r="C16"/>
    </row>
    <row r="17" spans="3:3" x14ac:dyDescent="0.15">
      <c r="C17"/>
    </row>
  </sheetData>
  <customSheetViews>
    <customSheetView guid="{713FC75E-AADE-44AD-B2AA-5D63E9472B67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/>
    </customSheetView>
    <customSheetView guid="{E98BF95A-7ED6-4B0B-8907-C5A38FFF3ED8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/>
    </customSheetView>
    <customSheetView guid="{45578662-6FBF-4681-81C5-CEBCFF726519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/>
    </customSheetView>
    <customSheetView guid="{7F0D5A42-E3C9-43F0-AD48-3918E9B5B3FF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/>
    </customSheetView>
    <customSheetView guid="{58AA5558-1303-4FBC-AB7B-E0F77F1E425C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/>
    </customSheetView>
  </customSheetViews>
  <phoneticPr fontId="2"/>
  <dataValidations count="1">
    <dataValidation type="list" allowBlank="1" showInputMessage="1" sqref="C3" xr:uid="{00000000-0002-0000-0000-000000000000}">
      <formula1>$F$3:$F$10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4"/>
  <sheetViews>
    <sheetView showGridLines="0" zoomScaleNormal="100" workbookViewId="0"/>
  </sheetViews>
  <sheetFormatPr defaultColWidth="3.75" defaultRowHeight="13.5" x14ac:dyDescent="0.15"/>
  <sheetData>
    <row r="1" spans="1:3" x14ac:dyDescent="0.15">
      <c r="A1" s="26" t="s">
        <v>25</v>
      </c>
    </row>
    <row r="4" spans="1:3" x14ac:dyDescent="0.15">
      <c r="A4" t="s">
        <v>15</v>
      </c>
    </row>
    <row r="6" spans="1:3" x14ac:dyDescent="0.15">
      <c r="A6" t="s">
        <v>8</v>
      </c>
    </row>
    <row r="7" spans="1:3" x14ac:dyDescent="0.15">
      <c r="B7" t="s">
        <v>19</v>
      </c>
    </row>
    <row r="8" spans="1:3" x14ac:dyDescent="0.15">
      <c r="C8" t="s">
        <v>20</v>
      </c>
    </row>
    <row r="10" spans="1:3" x14ac:dyDescent="0.15">
      <c r="B10" t="s">
        <v>18</v>
      </c>
    </row>
    <row r="11" spans="1:3" x14ac:dyDescent="0.15">
      <c r="C11" t="s">
        <v>26</v>
      </c>
    </row>
    <row r="13" spans="1:3" x14ac:dyDescent="0.15">
      <c r="B13" t="s">
        <v>21</v>
      </c>
    </row>
    <row r="14" spans="1:3" x14ac:dyDescent="0.15">
      <c r="C14" t="s">
        <v>22</v>
      </c>
    </row>
    <row r="16" spans="1:3" x14ac:dyDescent="0.15">
      <c r="B16" t="s">
        <v>23</v>
      </c>
    </row>
    <row r="17" spans="1:7" x14ac:dyDescent="0.15">
      <c r="C17" t="s">
        <v>24</v>
      </c>
    </row>
    <row r="19" spans="1:7" x14ac:dyDescent="0.15">
      <c r="A19" t="s">
        <v>7</v>
      </c>
    </row>
    <row r="20" spans="1:7" x14ac:dyDescent="0.15">
      <c r="B20" t="s">
        <v>28</v>
      </c>
    </row>
    <row r="22" spans="1:7" x14ac:dyDescent="0.15">
      <c r="B22" s="44" t="s">
        <v>6</v>
      </c>
      <c r="C22" s="44"/>
      <c r="D22" s="44"/>
      <c r="E22" s="44"/>
      <c r="F22" s="44"/>
      <c r="G22" s="44"/>
    </row>
    <row r="23" spans="1:7" x14ac:dyDescent="0.15">
      <c r="B23" s="44"/>
      <c r="C23" s="44"/>
      <c r="D23" s="44"/>
      <c r="E23" s="44"/>
      <c r="F23" s="44"/>
      <c r="G23" s="44"/>
    </row>
    <row r="24" spans="1:7" x14ac:dyDescent="0.15">
      <c r="B24" s="41" t="s">
        <v>27</v>
      </c>
      <c r="C24" s="42"/>
      <c r="D24" s="42"/>
      <c r="E24" s="42"/>
      <c r="F24" s="42"/>
      <c r="G24" s="43"/>
    </row>
  </sheetData>
  <customSheetViews>
    <customSheetView guid="{713FC75E-AADE-44AD-B2AA-5D63E9472B67}" showGridLines="0"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/>
    </customSheetView>
    <customSheetView guid="{E98BF95A-7ED6-4B0B-8907-C5A38FFF3ED8}" showGridLines="0">
      <selection activeCell="C11" sqref="C11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/>
    </customSheetView>
    <customSheetView guid="{45578662-6FBF-4681-81C5-CEBCFF726519}" showGridLines="0"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/>
    </customSheetView>
    <customSheetView guid="{7F0D5A42-E3C9-43F0-AD48-3918E9B5B3FF}" showGridLines="0"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/>
    </customSheetView>
    <customSheetView guid="{58AA5558-1303-4FBC-AB7B-E0F77F1E425C}" showGridLines="0"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/>
    </customSheetView>
  </customSheetViews>
  <mergeCells count="2">
    <mergeCell ref="B24:G24"/>
    <mergeCell ref="B22:G23"/>
  </mergeCells>
  <phoneticPr fontId="2"/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P61"/>
  <sheetViews>
    <sheetView zoomScale="115" zoomScaleNormal="115" workbookViewId="0"/>
  </sheetViews>
  <sheetFormatPr defaultRowHeight="10.5" x14ac:dyDescent="0.15"/>
  <cols>
    <col min="1" max="1" width="3.5" style="9" customWidth="1"/>
    <col min="2" max="2" width="15.125" style="9" customWidth="1"/>
    <col min="3" max="3" width="95.5" style="9" customWidth="1"/>
    <col min="4" max="4" width="7.75" style="9" customWidth="1"/>
    <col min="5" max="5" width="9" style="9"/>
    <col min="6" max="6" width="9.875" style="9" bestFit="1" customWidth="1"/>
    <col min="7" max="50" width="9" style="9"/>
    <col min="51" max="51" width="4.5" style="9" customWidth="1"/>
    <col min="52" max="16384" width="9" style="9"/>
  </cols>
  <sheetData>
    <row r="1" spans="1:68" x14ac:dyDescent="0.15">
      <c r="B1" s="11" t="s">
        <v>41</v>
      </c>
      <c r="C1" s="40" t="str">
        <f>IF(ISBLANK($B$1),"",共通設定値!$C$7&amp;IF(LEFT($B$1,1)="/",$B$1,"/"&amp;$B$1))</f>
        <v>http://internal-stg-spc-pap-int-alb-1979801768.ap-northeast-1.elb.amazonaws.com/ifxxxx</v>
      </c>
    </row>
    <row r="3" spans="1:68" x14ac:dyDescent="0.15">
      <c r="B3" s="11" t="s">
        <v>32</v>
      </c>
      <c r="C3" s="11" t="s">
        <v>33</v>
      </c>
    </row>
    <row r="4" spans="1:68" x14ac:dyDescent="0.15">
      <c r="B4" s="32" t="s">
        <v>35</v>
      </c>
      <c r="C4" s="32" t="s">
        <v>50</v>
      </c>
    </row>
    <row r="6" spans="1:68" ht="13.5" x14ac:dyDescent="0.15">
      <c r="K6" s="1"/>
    </row>
    <row r="7" spans="1:68" x14ac:dyDescent="0.15">
      <c r="C7" s="34"/>
      <c r="E7" s="20" t="s">
        <v>204</v>
      </c>
      <c r="F7" s="18"/>
      <c r="G7" s="18"/>
      <c r="H7" s="18"/>
      <c r="I7" s="18"/>
    </row>
    <row r="8" spans="1:68" x14ac:dyDescent="0.15">
      <c r="E8" s="20"/>
      <c r="F8" s="18"/>
      <c r="G8" s="17"/>
      <c r="H8" s="17"/>
      <c r="I8" s="17"/>
    </row>
    <row r="9" spans="1:68" x14ac:dyDescent="0.15">
      <c r="G9" s="15" t="s">
        <v>205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68" x14ac:dyDescent="0.15">
      <c r="A10" s="45" t="s">
        <v>17</v>
      </c>
      <c r="B10" s="44" t="s">
        <v>6</v>
      </c>
      <c r="C10" s="44"/>
      <c r="E10" s="47" t="s">
        <v>203</v>
      </c>
      <c r="F10" s="48" t="s">
        <v>16</v>
      </c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</row>
    <row r="11" spans="1:68" x14ac:dyDescent="0.15">
      <c r="A11" s="46"/>
      <c r="B11" s="44"/>
      <c r="C11" s="44"/>
      <c r="E11" s="47"/>
      <c r="F11" s="4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</row>
    <row r="12" spans="1:68" s="16" customFormat="1" x14ac:dyDescent="0.15">
      <c r="A12" s="19">
        <f t="shared" ref="A12:A41" si="0">ROW()-11</f>
        <v>1</v>
      </c>
      <c r="B12" s="41"/>
      <c r="C12" s="43"/>
      <c r="D12" s="9"/>
      <c r="E12" s="13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</row>
    <row r="13" spans="1:68" s="16" customFormat="1" x14ac:dyDescent="0.15">
      <c r="A13" s="19">
        <f t="shared" si="0"/>
        <v>2</v>
      </c>
      <c r="B13" s="41"/>
      <c r="C13" s="43"/>
      <c r="D13" s="9"/>
      <c r="E13" s="13"/>
      <c r="F13" s="1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</row>
    <row r="14" spans="1:68" s="16" customFormat="1" x14ac:dyDescent="0.15">
      <c r="A14" s="19">
        <f t="shared" si="0"/>
        <v>3</v>
      </c>
      <c r="B14" s="41"/>
      <c r="C14" s="43"/>
      <c r="D14" s="9"/>
      <c r="E14" s="13"/>
      <c r="F14" s="1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</row>
    <row r="15" spans="1:68" s="16" customFormat="1" x14ac:dyDescent="0.15">
      <c r="A15" s="19">
        <f t="shared" si="0"/>
        <v>4</v>
      </c>
      <c r="B15" s="49"/>
      <c r="C15" s="49"/>
      <c r="D15" s="9"/>
      <c r="E15" s="13"/>
      <c r="F15" s="1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</row>
    <row r="16" spans="1:68" s="16" customFormat="1" x14ac:dyDescent="0.15">
      <c r="A16" s="19">
        <f t="shared" si="0"/>
        <v>5</v>
      </c>
      <c r="B16" s="49"/>
      <c r="C16" s="49"/>
      <c r="D16" s="9"/>
      <c r="E16" s="13"/>
      <c r="F16" s="1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</row>
    <row r="17" spans="1:68" s="16" customFormat="1" x14ac:dyDescent="0.15">
      <c r="A17" s="19">
        <f t="shared" si="0"/>
        <v>6</v>
      </c>
      <c r="B17" s="49"/>
      <c r="C17" s="49"/>
      <c r="D17" s="9"/>
      <c r="E17" s="13"/>
      <c r="F17" s="1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</row>
    <row r="18" spans="1:68" s="16" customFormat="1" x14ac:dyDescent="0.15">
      <c r="A18" s="19">
        <f t="shared" si="0"/>
        <v>7</v>
      </c>
      <c r="B18" s="49"/>
      <c r="C18" s="49"/>
      <c r="D18" s="9"/>
      <c r="E18" s="13"/>
      <c r="F18" s="1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</row>
    <row r="19" spans="1:68" s="16" customFormat="1" x14ac:dyDescent="0.15">
      <c r="A19" s="19">
        <f t="shared" si="0"/>
        <v>8</v>
      </c>
      <c r="B19" s="49"/>
      <c r="C19" s="49"/>
      <c r="D19" s="9"/>
      <c r="E19" s="13"/>
      <c r="F19" s="1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</row>
    <row r="20" spans="1:68" s="16" customFormat="1" x14ac:dyDescent="0.15">
      <c r="A20" s="19">
        <f t="shared" si="0"/>
        <v>9</v>
      </c>
      <c r="B20" s="49"/>
      <c r="C20" s="49"/>
      <c r="D20" s="9"/>
      <c r="E20" s="13"/>
      <c r="F20" s="1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</row>
    <row r="21" spans="1:68" s="16" customFormat="1" x14ac:dyDescent="0.15">
      <c r="A21" s="19">
        <f t="shared" si="0"/>
        <v>10</v>
      </c>
      <c r="B21" s="49"/>
      <c r="C21" s="49"/>
      <c r="D21" s="9"/>
      <c r="E21" s="13"/>
      <c r="F21" s="1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</row>
    <row r="22" spans="1:68" s="16" customFormat="1" x14ac:dyDescent="0.15">
      <c r="A22" s="19">
        <f t="shared" si="0"/>
        <v>11</v>
      </c>
      <c r="B22" s="49"/>
      <c r="C22" s="49"/>
      <c r="D22" s="9"/>
      <c r="E22" s="13"/>
      <c r="F22" s="1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</row>
    <row r="23" spans="1:68" s="16" customFormat="1" x14ac:dyDescent="0.15">
      <c r="A23" s="19">
        <f t="shared" si="0"/>
        <v>12</v>
      </c>
      <c r="B23" s="49"/>
      <c r="C23" s="49"/>
      <c r="D23" s="9"/>
      <c r="E23" s="13"/>
      <c r="F23" s="1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</row>
    <row r="24" spans="1:68" s="16" customFormat="1" x14ac:dyDescent="0.15">
      <c r="A24" s="19">
        <f t="shared" si="0"/>
        <v>13</v>
      </c>
      <c r="B24" s="49"/>
      <c r="C24" s="49"/>
      <c r="D24" s="9"/>
      <c r="E24" s="13"/>
      <c r="F24" s="1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</row>
    <row r="25" spans="1:68" s="16" customFormat="1" x14ac:dyDescent="0.15">
      <c r="A25" s="19">
        <f t="shared" si="0"/>
        <v>14</v>
      </c>
      <c r="B25" s="49"/>
      <c r="C25" s="49"/>
      <c r="D25" s="9"/>
      <c r="E25" s="13"/>
      <c r="F25" s="1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</row>
    <row r="26" spans="1:68" s="16" customFormat="1" x14ac:dyDescent="0.15">
      <c r="A26" s="19">
        <f t="shared" si="0"/>
        <v>15</v>
      </c>
      <c r="B26" s="49"/>
      <c r="C26" s="49"/>
      <c r="D26" s="9"/>
      <c r="E26" s="13"/>
      <c r="F26" s="1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</row>
    <row r="27" spans="1:68" s="16" customFormat="1" x14ac:dyDescent="0.15">
      <c r="A27" s="19">
        <f t="shared" si="0"/>
        <v>16</v>
      </c>
      <c r="B27" s="49"/>
      <c r="C27" s="49"/>
      <c r="D27" s="9"/>
      <c r="E27" s="13"/>
      <c r="F27" s="1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</row>
    <row r="28" spans="1:68" s="16" customFormat="1" x14ac:dyDescent="0.15">
      <c r="A28" s="19">
        <f t="shared" si="0"/>
        <v>17</v>
      </c>
      <c r="B28" s="49"/>
      <c r="C28" s="49"/>
      <c r="D28" s="9"/>
      <c r="E28" s="13"/>
      <c r="F28" s="1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</row>
    <row r="29" spans="1:68" s="16" customFormat="1" x14ac:dyDescent="0.15">
      <c r="A29" s="19">
        <f t="shared" si="0"/>
        <v>18</v>
      </c>
      <c r="B29" s="49"/>
      <c r="C29" s="49"/>
      <c r="D29" s="9"/>
      <c r="E29" s="13"/>
      <c r="F29" s="1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</row>
    <row r="30" spans="1:68" s="16" customFormat="1" x14ac:dyDescent="0.15">
      <c r="A30" s="19">
        <f t="shared" si="0"/>
        <v>19</v>
      </c>
      <c r="B30" s="49"/>
      <c r="C30" s="49"/>
      <c r="D30" s="9"/>
      <c r="E30" s="13"/>
      <c r="F30" s="1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</row>
    <row r="31" spans="1:68" s="16" customFormat="1" x14ac:dyDescent="0.15">
      <c r="A31" s="19">
        <f t="shared" si="0"/>
        <v>20</v>
      </c>
      <c r="B31" s="49"/>
      <c r="C31" s="49"/>
      <c r="D31" s="9"/>
      <c r="E31" s="13"/>
      <c r="F31" s="1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</row>
    <row r="32" spans="1:68" s="16" customFormat="1" x14ac:dyDescent="0.15">
      <c r="A32" s="19">
        <f t="shared" si="0"/>
        <v>21</v>
      </c>
      <c r="B32" s="49"/>
      <c r="C32" s="49"/>
      <c r="D32" s="9"/>
      <c r="E32" s="13"/>
      <c r="F32" s="1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</row>
    <row r="33" spans="1:68" s="16" customFormat="1" x14ac:dyDescent="0.15">
      <c r="A33" s="19">
        <f t="shared" si="0"/>
        <v>22</v>
      </c>
      <c r="B33" s="49"/>
      <c r="C33" s="49"/>
      <c r="D33" s="9"/>
      <c r="E33" s="13"/>
      <c r="F33" s="1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</row>
    <row r="34" spans="1:68" s="16" customFormat="1" x14ac:dyDescent="0.15">
      <c r="A34" s="19">
        <f t="shared" si="0"/>
        <v>23</v>
      </c>
      <c r="B34" s="49"/>
      <c r="C34" s="49"/>
      <c r="D34" s="9"/>
      <c r="E34" s="13"/>
      <c r="F34" s="1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</row>
    <row r="35" spans="1:68" s="16" customFormat="1" x14ac:dyDescent="0.15">
      <c r="A35" s="19">
        <f t="shared" si="0"/>
        <v>24</v>
      </c>
      <c r="B35" s="49"/>
      <c r="C35" s="49"/>
      <c r="D35" s="9"/>
      <c r="E35" s="13"/>
      <c r="F35" s="1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</row>
    <row r="36" spans="1:68" s="16" customFormat="1" x14ac:dyDescent="0.15">
      <c r="A36" s="19">
        <f t="shared" si="0"/>
        <v>25</v>
      </c>
      <c r="B36" s="49"/>
      <c r="C36" s="49"/>
      <c r="D36" s="9"/>
      <c r="E36" s="13"/>
      <c r="F36" s="1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</row>
    <row r="37" spans="1:68" s="16" customFormat="1" x14ac:dyDescent="0.15">
      <c r="A37" s="19">
        <f t="shared" si="0"/>
        <v>26</v>
      </c>
      <c r="B37" s="49"/>
      <c r="C37" s="49"/>
      <c r="D37" s="9"/>
      <c r="E37" s="13"/>
      <c r="F37" s="1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</row>
    <row r="38" spans="1:68" s="16" customFormat="1" x14ac:dyDescent="0.15">
      <c r="A38" s="19">
        <f t="shared" si="0"/>
        <v>27</v>
      </c>
      <c r="B38" s="49"/>
      <c r="C38" s="49"/>
      <c r="D38" s="9"/>
      <c r="E38" s="13"/>
      <c r="F38" s="1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</row>
    <row r="39" spans="1:68" s="16" customFormat="1" x14ac:dyDescent="0.15">
      <c r="A39" s="19">
        <f t="shared" si="0"/>
        <v>28</v>
      </c>
      <c r="B39" s="49"/>
      <c r="C39" s="49"/>
      <c r="D39" s="9"/>
      <c r="E39" s="13"/>
      <c r="F39" s="1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</row>
    <row r="40" spans="1:68" s="16" customFormat="1" x14ac:dyDescent="0.15">
      <c r="A40" s="19">
        <f t="shared" si="0"/>
        <v>29</v>
      </c>
      <c r="B40" s="49"/>
      <c r="C40" s="49"/>
      <c r="D40" s="9"/>
      <c r="E40" s="13"/>
      <c r="F40" s="1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</row>
    <row r="41" spans="1:68" s="16" customFormat="1" x14ac:dyDescent="0.15">
      <c r="A41" s="19">
        <f t="shared" si="0"/>
        <v>30</v>
      </c>
      <c r="B41" s="49"/>
      <c r="C41" s="49"/>
      <c r="D41" s="9"/>
      <c r="E41" s="13"/>
      <c r="F41" s="1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</row>
    <row r="42" spans="1:68" s="16" customFormat="1" x14ac:dyDescent="0.15">
      <c r="A42" s="19">
        <v>31</v>
      </c>
      <c r="B42" s="49"/>
      <c r="C42" s="49"/>
      <c r="D42" s="9"/>
      <c r="E42" s="13"/>
      <c r="F42" s="1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</row>
    <row r="43" spans="1:68" x14ac:dyDescent="0.15">
      <c r="A43" s="19">
        <v>32</v>
      </c>
      <c r="B43" s="49"/>
      <c r="C43" s="49"/>
      <c r="E43" s="13"/>
      <c r="F43" s="1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</row>
    <row r="44" spans="1:68" x14ac:dyDescent="0.15">
      <c r="A44" s="19">
        <v>33</v>
      </c>
      <c r="B44" s="49"/>
      <c r="C44" s="49"/>
      <c r="E44" s="13"/>
      <c r="F44" s="1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</row>
    <row r="45" spans="1:68" x14ac:dyDescent="0.15">
      <c r="A45" s="19">
        <v>34</v>
      </c>
      <c r="B45" s="49"/>
      <c r="C45" s="49"/>
      <c r="E45" s="13"/>
      <c r="F45" s="1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</row>
    <row r="46" spans="1:68" x14ac:dyDescent="0.15">
      <c r="A46" s="19">
        <v>35</v>
      </c>
      <c r="B46" s="49"/>
      <c r="C46" s="49"/>
      <c r="E46" s="13"/>
      <c r="F46" s="1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</row>
    <row r="47" spans="1:68" x14ac:dyDescent="0.15">
      <c r="A47" s="19">
        <v>36</v>
      </c>
      <c r="B47" s="49"/>
      <c r="C47" s="49"/>
      <c r="E47" s="13"/>
      <c r="F47" s="1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</row>
    <row r="48" spans="1:68" x14ac:dyDescent="0.15">
      <c r="A48" s="19">
        <v>37</v>
      </c>
      <c r="B48" s="49"/>
      <c r="C48" s="49"/>
      <c r="E48" s="13"/>
      <c r="F48" s="1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</row>
    <row r="49" spans="1:68" x14ac:dyDescent="0.15">
      <c r="A49" s="19">
        <v>38</v>
      </c>
      <c r="B49" s="49"/>
      <c r="C49" s="49"/>
      <c r="E49" s="13"/>
      <c r="F49" s="1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</row>
    <row r="50" spans="1:68" x14ac:dyDescent="0.15">
      <c r="A50" s="19">
        <v>39</v>
      </c>
      <c r="B50" s="49"/>
      <c r="C50" s="49"/>
      <c r="E50" s="13"/>
      <c r="F50" s="1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</row>
    <row r="51" spans="1:68" x14ac:dyDescent="0.15">
      <c r="A51" s="19">
        <v>40</v>
      </c>
      <c r="B51" s="49"/>
      <c r="C51" s="49"/>
      <c r="E51" s="13"/>
      <c r="F51" s="1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</row>
    <row r="52" spans="1:68" x14ac:dyDescent="0.15">
      <c r="A52" s="19">
        <v>41</v>
      </c>
      <c r="B52" s="49"/>
      <c r="C52" s="49"/>
      <c r="E52" s="13"/>
      <c r="F52" s="1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</row>
    <row r="53" spans="1:68" x14ac:dyDescent="0.15">
      <c r="A53" s="19">
        <v>42</v>
      </c>
      <c r="B53" s="49"/>
      <c r="C53" s="49"/>
      <c r="E53" s="13"/>
      <c r="F53" s="1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</row>
    <row r="54" spans="1:68" x14ac:dyDescent="0.15">
      <c r="A54" s="19">
        <v>43</v>
      </c>
      <c r="B54" s="49"/>
      <c r="C54" s="49"/>
      <c r="E54" s="13"/>
      <c r="F54" s="1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</row>
    <row r="55" spans="1:68" x14ac:dyDescent="0.15">
      <c r="A55" s="19">
        <v>44</v>
      </c>
      <c r="B55" s="49"/>
      <c r="C55" s="49"/>
      <c r="E55" s="13"/>
      <c r="F55" s="1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</row>
    <row r="56" spans="1:68" x14ac:dyDescent="0.15">
      <c r="A56" s="19">
        <v>45</v>
      </c>
      <c r="B56" s="49"/>
      <c r="C56" s="49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</row>
    <row r="57" spans="1:68" x14ac:dyDescent="0.15">
      <c r="A57" s="19">
        <v>46</v>
      </c>
      <c r="B57" s="49"/>
      <c r="C57" s="49"/>
      <c r="E57" s="13"/>
      <c r="F57" s="1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</row>
    <row r="58" spans="1:68" x14ac:dyDescent="0.15">
      <c r="A58" s="19">
        <v>47</v>
      </c>
      <c r="B58" s="49"/>
      <c r="C58" s="49"/>
      <c r="E58" s="13"/>
      <c r="F58" s="1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</row>
    <row r="59" spans="1:68" x14ac:dyDescent="0.15">
      <c r="A59" s="19">
        <v>48</v>
      </c>
      <c r="B59" s="49"/>
      <c r="C59" s="49"/>
      <c r="E59" s="13"/>
      <c r="F59" s="1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</row>
    <row r="60" spans="1:68" x14ac:dyDescent="0.15">
      <c r="A60" s="19">
        <v>49</v>
      </c>
      <c r="B60" s="49"/>
      <c r="C60" s="49"/>
      <c r="E60" s="13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</row>
    <row r="61" spans="1:68" x14ac:dyDescent="0.15">
      <c r="A61" s="19">
        <v>50</v>
      </c>
      <c r="B61" s="49"/>
      <c r="C61" s="49"/>
      <c r="E61" s="13"/>
      <c r="F61" s="1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</row>
  </sheetData>
  <sheetProtection formatCells="0"/>
  <customSheetViews>
    <customSheetView guid="{713FC75E-AADE-44AD-B2AA-5D63E9472B67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>
        <oddHeader>&amp;C&amp;A</oddHeader>
      </headerFooter>
    </customSheetView>
    <customSheetView guid="{E98BF95A-7ED6-4B0B-8907-C5A38FFF3ED8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>
        <oddHeader>&amp;C&amp;A</oddHeader>
      </headerFooter>
    </customSheetView>
    <customSheetView guid="{45578662-6FBF-4681-81C5-CEBCFF726519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>
        <oddHeader>&amp;C&amp;A</oddHeader>
      </headerFooter>
    </customSheetView>
    <customSheetView guid="{7F0D5A42-E3C9-43F0-AD48-3918E9B5B3FF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>
        <oddHeader>&amp;C&amp;A</oddHeader>
      </headerFooter>
    </customSheetView>
    <customSheetView guid="{58AA5558-1303-4FBC-AB7B-E0F77F1E425C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>
        <oddHeader>&amp;C&amp;A</oddHeader>
      </headerFooter>
    </customSheetView>
  </customSheetViews>
  <mergeCells count="54">
    <mergeCell ref="B58:C58"/>
    <mergeCell ref="B59:C59"/>
    <mergeCell ref="B60:C60"/>
    <mergeCell ref="B61:C61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5:C45"/>
    <mergeCell ref="B46:C46"/>
    <mergeCell ref="B47:C47"/>
    <mergeCell ref="B38:C38"/>
    <mergeCell ref="B39:C39"/>
    <mergeCell ref="B40:C40"/>
    <mergeCell ref="B41:C41"/>
    <mergeCell ref="B42:C42"/>
    <mergeCell ref="B33:C33"/>
    <mergeCell ref="B34:C34"/>
    <mergeCell ref="B35:C35"/>
    <mergeCell ref="B36:C36"/>
    <mergeCell ref="B37:C37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B18:C18"/>
    <mergeCell ref="B19:C19"/>
    <mergeCell ref="B20:C20"/>
    <mergeCell ref="B21:C21"/>
    <mergeCell ref="B22:C22"/>
    <mergeCell ref="B13:C13"/>
    <mergeCell ref="B14:C14"/>
    <mergeCell ref="B15:C15"/>
    <mergeCell ref="B16:C16"/>
    <mergeCell ref="B17:C17"/>
    <mergeCell ref="A10:A11"/>
    <mergeCell ref="B10:C11"/>
    <mergeCell ref="E10:E11"/>
    <mergeCell ref="F10:F11"/>
    <mergeCell ref="B12:C12"/>
  </mergeCells>
  <phoneticPr fontId="2"/>
  <dataValidations count="2">
    <dataValidation type="list" allowBlank="1" showInputMessage="1" showErrorMessage="1" sqref="E12:E61" xr:uid="{00000000-0002-0000-0200-000000000000}">
      <formula1>"○"</formula1>
    </dataValidation>
    <dataValidation type="list" allowBlank="1" showInputMessage="1" sqref="G8:I8 G12:AX61" xr:uid="{00000000-0002-0000-0200-000001000000}">
      <formula1>"(null)"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>
    <oddHeader>&amp;C&amp;A</oddHead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9" name="Button 1">
              <controlPr defaultSize="0" print="0" autoFill="0" autoPict="0" macro="[0]!sendDenbunAndSplitResponseSeibu">
                <anchor moveWithCells="1" sizeWithCells="1">
                  <from>
                    <xdr:col>1</xdr:col>
                    <xdr:colOff>28575</xdr:colOff>
                    <xdr:row>4</xdr:row>
                    <xdr:rowOff>123825</xdr:rowOff>
                  </from>
                  <to>
                    <xdr:col>1</xdr:col>
                    <xdr:colOff>619125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FCADE5FE-E7F4-4FBC-95B2-1CF5152C433E}">
          <x14:formula1>
            <xm:f>項目名!$D$3:$D$5</xm:f>
          </x14:formula1>
          <xm:sqref>B1</xm:sqref>
        </x14:dataValidation>
        <x14:dataValidation type="list" allowBlank="1" showInputMessage="1" showErrorMessage="1" xr:uid="{9A73F2C4-D3B6-4B71-BBE1-552D26A9339A}">
          <x14:formula1>
            <xm:f>項目名!$B$3:$B$4</xm:f>
          </x14:formula1>
          <xm:sqref>B4</xm:sqref>
        </x14:dataValidation>
        <x14:dataValidation type="list" allowBlank="1" showInputMessage="1" showErrorMessage="1" xr:uid="{986768F6-BCC9-4E29-A50B-77DFAA471AC7}">
          <x14:formula1>
            <xm:f>項目名!$C$3:$C$4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F5377-DCF5-46F9-8E52-3D79C41732B6}">
  <sheetPr codeName="Sheet5"/>
  <dimension ref="B1:F7"/>
  <sheetViews>
    <sheetView workbookViewId="0">
      <selection activeCell="F4" sqref="F4"/>
    </sheetView>
  </sheetViews>
  <sheetFormatPr defaultRowHeight="13.5" x14ac:dyDescent="0.15"/>
  <cols>
    <col min="1" max="1" width="9" style="35"/>
    <col min="2" max="2" width="14.375" style="35" bestFit="1" customWidth="1"/>
    <col min="3" max="3" width="17.75" style="35" bestFit="1" customWidth="1"/>
    <col min="4" max="4" width="20.125" style="35" bestFit="1" customWidth="1"/>
    <col min="5" max="5" width="9" style="35"/>
    <col min="6" max="6" width="53" style="35" bestFit="1" customWidth="1"/>
    <col min="7" max="16384" width="9" style="35"/>
  </cols>
  <sheetData>
    <row r="1" spans="2:6" x14ac:dyDescent="0.15">
      <c r="F1" s="35" t="s">
        <v>200</v>
      </c>
    </row>
    <row r="2" spans="2:6" x14ac:dyDescent="0.15">
      <c r="B2" s="36" t="s">
        <v>34</v>
      </c>
      <c r="C2" s="36" t="s">
        <v>38</v>
      </c>
      <c r="D2" s="36" t="s">
        <v>193</v>
      </c>
      <c r="F2" s="36" t="s">
        <v>193</v>
      </c>
    </row>
    <row r="3" spans="2:6" x14ac:dyDescent="0.15">
      <c r="B3" s="37" t="s">
        <v>36</v>
      </c>
      <c r="C3" s="37" t="s">
        <v>39</v>
      </c>
      <c r="D3" s="37" t="s">
        <v>194</v>
      </c>
      <c r="F3" s="38" t="s">
        <v>201</v>
      </c>
    </row>
    <row r="4" spans="2:6" x14ac:dyDescent="0.15">
      <c r="B4" s="37" t="s">
        <v>37</v>
      </c>
      <c r="C4" s="37" t="s">
        <v>51</v>
      </c>
      <c r="D4" s="37" t="s">
        <v>40</v>
      </c>
      <c r="F4" s="38"/>
    </row>
    <row r="5" spans="2:6" x14ac:dyDescent="0.15">
      <c r="B5" s="37"/>
      <c r="C5" s="37"/>
      <c r="D5" s="37" t="s">
        <v>41</v>
      </c>
    </row>
    <row r="7" spans="2:6" x14ac:dyDescent="0.15">
      <c r="C7" s="39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2C81-6699-4FBF-ACBA-52A25C33F2EB}">
  <sheetPr codeName="Sheet9"/>
  <dimension ref="A1:BP61"/>
  <sheetViews>
    <sheetView tabSelected="1" zoomScale="115" zoomScaleNormal="115" workbookViewId="0"/>
  </sheetViews>
  <sheetFormatPr defaultRowHeight="10.5" x14ac:dyDescent="0.15"/>
  <cols>
    <col min="1" max="1" width="3.5" style="9" customWidth="1"/>
    <col min="2" max="2" width="15.125" style="9" customWidth="1"/>
    <col min="3" max="3" width="95.5" style="9" customWidth="1"/>
    <col min="4" max="4" width="7.75" style="9" customWidth="1"/>
    <col min="5" max="5" width="9" style="9"/>
    <col min="6" max="6" width="8" style="9" customWidth="1"/>
    <col min="7" max="50" width="9" style="9"/>
    <col min="51" max="51" width="4.5" style="9" customWidth="1"/>
    <col min="52" max="16384" width="9" style="9"/>
  </cols>
  <sheetData>
    <row r="1" spans="1:68" x14ac:dyDescent="0.15">
      <c r="B1" s="11" t="s">
        <v>209</v>
      </c>
      <c r="C1" s="31" t="str">
        <f>IF(ISBLANK($B$1),"",共通設定値!$C$7&amp;IF(LEFT($B$1,1)="/",$B$1,"/"&amp;$B$1))</f>
        <v>http://internal-stg-spc-pap-int-alb-1979801768.ap-northeast-1.elb.amazonaws.com/if1140</v>
      </c>
    </row>
    <row r="3" spans="1:68" x14ac:dyDescent="0.15">
      <c r="B3" s="11" t="s">
        <v>32</v>
      </c>
      <c r="C3" s="11" t="s">
        <v>33</v>
      </c>
    </row>
    <row r="4" spans="1:68" x14ac:dyDescent="0.15">
      <c r="B4" s="32" t="s">
        <v>35</v>
      </c>
      <c r="C4" s="32" t="s">
        <v>39</v>
      </c>
    </row>
    <row r="6" spans="1:68" ht="13.5" x14ac:dyDescent="0.15">
      <c r="K6" s="1"/>
    </row>
    <row r="7" spans="1:68" x14ac:dyDescent="0.15">
      <c r="C7" s="34"/>
      <c r="E7" s="20" t="s">
        <v>204</v>
      </c>
      <c r="F7" s="18"/>
      <c r="G7" s="18"/>
      <c r="H7" s="18"/>
      <c r="I7" s="18"/>
    </row>
    <row r="8" spans="1:68" x14ac:dyDescent="0.15">
      <c r="E8" s="20"/>
      <c r="F8" s="18"/>
      <c r="G8" s="17"/>
      <c r="H8" s="17"/>
      <c r="I8" s="17"/>
    </row>
    <row r="9" spans="1:68" x14ac:dyDescent="0.15">
      <c r="G9" s="15" t="s">
        <v>205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68" ht="10.5" customHeight="1" x14ac:dyDescent="0.15">
      <c r="A10" s="45" t="s">
        <v>17</v>
      </c>
      <c r="B10" s="50" t="s">
        <v>6</v>
      </c>
      <c r="C10" s="51"/>
      <c r="E10" s="45" t="s">
        <v>4</v>
      </c>
      <c r="F10" s="54" t="s">
        <v>16</v>
      </c>
      <c r="G10" s="30" t="s">
        <v>210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</row>
    <row r="11" spans="1:68" x14ac:dyDescent="0.15">
      <c r="A11" s="46"/>
      <c r="B11" s="52"/>
      <c r="C11" s="53"/>
      <c r="E11" s="46"/>
      <c r="F11" s="55"/>
      <c r="G11" s="30" t="s">
        <v>211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</row>
    <row r="12" spans="1:68" s="16" customFormat="1" x14ac:dyDescent="0.15">
      <c r="A12" s="19">
        <f t="shared" ref="A12" si="0">ROW()-11</f>
        <v>1</v>
      </c>
      <c r="B12" s="41" t="s">
        <v>192</v>
      </c>
      <c r="C12" s="43"/>
      <c r="D12" s="9"/>
      <c r="E12" s="13" t="s">
        <v>5</v>
      </c>
      <c r="F12" s="14" t="s">
        <v>199</v>
      </c>
      <c r="G12" s="12" t="s">
        <v>212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</row>
    <row r="13" spans="1:68" s="16" customFormat="1" x14ac:dyDescent="0.15">
      <c r="A13" s="19">
        <f t="shared" ref="A13:A41" si="1">ROW()-11</f>
        <v>2</v>
      </c>
      <c r="B13" s="41"/>
      <c r="C13" s="43"/>
      <c r="D13" s="9"/>
      <c r="E13" s="13"/>
      <c r="F13" s="1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</row>
    <row r="14" spans="1:68" s="16" customFormat="1" x14ac:dyDescent="0.15">
      <c r="A14" s="19">
        <f t="shared" si="1"/>
        <v>3</v>
      </c>
      <c r="B14" s="41"/>
      <c r="C14" s="43"/>
      <c r="D14" s="9"/>
      <c r="E14" s="13"/>
      <c r="F14" s="1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</row>
    <row r="15" spans="1:68" s="16" customFormat="1" x14ac:dyDescent="0.15">
      <c r="A15" s="19">
        <f t="shared" si="1"/>
        <v>4</v>
      </c>
      <c r="B15" s="41"/>
      <c r="C15" s="43"/>
      <c r="D15" s="9"/>
      <c r="E15" s="13"/>
      <c r="F15" s="1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</row>
    <row r="16" spans="1:68" s="16" customFormat="1" x14ac:dyDescent="0.15">
      <c r="A16" s="19">
        <f t="shared" si="1"/>
        <v>5</v>
      </c>
      <c r="B16" s="41"/>
      <c r="C16" s="43"/>
      <c r="D16" s="9"/>
      <c r="E16" s="13"/>
      <c r="F16" s="1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</row>
    <row r="17" spans="1:68" s="16" customFormat="1" x14ac:dyDescent="0.15">
      <c r="A17" s="19">
        <f t="shared" si="1"/>
        <v>6</v>
      </c>
      <c r="B17" s="41"/>
      <c r="C17" s="43"/>
      <c r="D17" s="9"/>
      <c r="E17" s="13"/>
      <c r="F17" s="1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</row>
    <row r="18" spans="1:68" s="16" customFormat="1" x14ac:dyDescent="0.15">
      <c r="A18" s="19">
        <f t="shared" si="1"/>
        <v>7</v>
      </c>
      <c r="B18" s="41"/>
      <c r="C18" s="43"/>
      <c r="D18" s="9"/>
      <c r="E18" s="13"/>
      <c r="F18" s="1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</row>
    <row r="19" spans="1:68" s="16" customFormat="1" x14ac:dyDescent="0.15">
      <c r="A19" s="19">
        <f t="shared" si="1"/>
        <v>8</v>
      </c>
      <c r="B19" s="41"/>
      <c r="C19" s="43"/>
      <c r="D19" s="9"/>
      <c r="E19" s="13"/>
      <c r="F19" s="1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</row>
    <row r="20" spans="1:68" s="16" customFormat="1" x14ac:dyDescent="0.15">
      <c r="A20" s="19">
        <f t="shared" si="1"/>
        <v>9</v>
      </c>
      <c r="B20" s="41"/>
      <c r="C20" s="43"/>
      <c r="D20" s="9"/>
      <c r="E20" s="13"/>
      <c r="F20" s="1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</row>
    <row r="21" spans="1:68" s="16" customFormat="1" x14ac:dyDescent="0.15">
      <c r="A21" s="19">
        <f t="shared" si="1"/>
        <v>10</v>
      </c>
      <c r="B21" s="41"/>
      <c r="C21" s="43"/>
      <c r="D21" s="9"/>
      <c r="E21" s="13"/>
      <c r="F21" s="1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</row>
    <row r="22" spans="1:68" s="16" customFormat="1" x14ac:dyDescent="0.15">
      <c r="A22" s="19">
        <f t="shared" si="1"/>
        <v>11</v>
      </c>
      <c r="B22" s="41"/>
      <c r="C22" s="43"/>
      <c r="D22" s="9"/>
      <c r="E22" s="13"/>
      <c r="F22" s="1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</row>
    <row r="23" spans="1:68" s="16" customFormat="1" x14ac:dyDescent="0.15">
      <c r="A23" s="19">
        <f t="shared" si="1"/>
        <v>12</v>
      </c>
      <c r="B23" s="41"/>
      <c r="C23" s="43"/>
      <c r="D23" s="9"/>
      <c r="E23" s="13"/>
      <c r="F23" s="1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</row>
    <row r="24" spans="1:68" s="16" customFormat="1" x14ac:dyDescent="0.15">
      <c r="A24" s="19">
        <f t="shared" si="1"/>
        <v>13</v>
      </c>
      <c r="B24" s="41"/>
      <c r="C24" s="43"/>
      <c r="D24" s="9"/>
      <c r="E24" s="13"/>
      <c r="F24" s="1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</row>
    <row r="25" spans="1:68" s="16" customFormat="1" x14ac:dyDescent="0.15">
      <c r="A25" s="19">
        <f t="shared" si="1"/>
        <v>14</v>
      </c>
      <c r="B25" s="41"/>
      <c r="C25" s="43"/>
      <c r="D25" s="9"/>
      <c r="E25" s="13"/>
      <c r="F25" s="1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</row>
    <row r="26" spans="1:68" s="16" customFormat="1" x14ac:dyDescent="0.15">
      <c r="A26" s="19">
        <f t="shared" si="1"/>
        <v>15</v>
      </c>
      <c r="B26" s="41"/>
      <c r="C26" s="43"/>
      <c r="D26" s="9"/>
      <c r="E26" s="13"/>
      <c r="F26" s="1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</row>
    <row r="27" spans="1:68" s="16" customFormat="1" x14ac:dyDescent="0.15">
      <c r="A27" s="19">
        <f t="shared" si="1"/>
        <v>16</v>
      </c>
      <c r="B27" s="41"/>
      <c r="C27" s="43"/>
      <c r="D27" s="9"/>
      <c r="E27" s="13"/>
      <c r="F27" s="1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</row>
    <row r="28" spans="1:68" s="16" customFormat="1" x14ac:dyDescent="0.15">
      <c r="A28" s="19">
        <f t="shared" si="1"/>
        <v>17</v>
      </c>
      <c r="B28" s="41"/>
      <c r="C28" s="43"/>
      <c r="D28" s="9"/>
      <c r="E28" s="13"/>
      <c r="F28" s="1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</row>
    <row r="29" spans="1:68" s="16" customFormat="1" x14ac:dyDescent="0.15">
      <c r="A29" s="19">
        <f t="shared" si="1"/>
        <v>18</v>
      </c>
      <c r="B29" s="41"/>
      <c r="C29" s="43"/>
      <c r="D29" s="9"/>
      <c r="E29" s="13"/>
      <c r="F29" s="1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</row>
    <row r="30" spans="1:68" s="16" customFormat="1" x14ac:dyDescent="0.15">
      <c r="A30" s="19">
        <f t="shared" si="1"/>
        <v>19</v>
      </c>
      <c r="B30" s="41"/>
      <c r="C30" s="43"/>
      <c r="D30" s="9"/>
      <c r="E30" s="13"/>
      <c r="F30" s="1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</row>
    <row r="31" spans="1:68" s="16" customFormat="1" x14ac:dyDescent="0.15">
      <c r="A31" s="19">
        <f t="shared" si="1"/>
        <v>20</v>
      </c>
      <c r="B31" s="41"/>
      <c r="C31" s="43"/>
      <c r="D31" s="9"/>
      <c r="E31" s="13"/>
      <c r="F31" s="1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</row>
    <row r="32" spans="1:68" s="16" customFormat="1" x14ac:dyDescent="0.15">
      <c r="A32" s="19">
        <f t="shared" si="1"/>
        <v>21</v>
      </c>
      <c r="B32" s="41"/>
      <c r="C32" s="43"/>
      <c r="D32" s="9"/>
      <c r="E32" s="13"/>
      <c r="F32" s="1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</row>
    <row r="33" spans="1:68" s="16" customFormat="1" x14ac:dyDescent="0.15">
      <c r="A33" s="19">
        <f t="shared" si="1"/>
        <v>22</v>
      </c>
      <c r="B33" s="41"/>
      <c r="C33" s="43"/>
      <c r="D33" s="9"/>
      <c r="E33" s="13"/>
      <c r="F33" s="1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</row>
    <row r="34" spans="1:68" s="16" customFormat="1" x14ac:dyDescent="0.15">
      <c r="A34" s="19">
        <f t="shared" si="1"/>
        <v>23</v>
      </c>
      <c r="B34" s="41"/>
      <c r="C34" s="43"/>
      <c r="D34" s="9"/>
      <c r="E34" s="13"/>
      <c r="F34" s="1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</row>
    <row r="35" spans="1:68" s="16" customFormat="1" x14ac:dyDescent="0.15">
      <c r="A35" s="19">
        <f t="shared" si="1"/>
        <v>24</v>
      </c>
      <c r="B35" s="41"/>
      <c r="C35" s="43"/>
      <c r="D35" s="9"/>
      <c r="E35" s="13"/>
      <c r="F35" s="1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</row>
    <row r="36" spans="1:68" s="16" customFormat="1" x14ac:dyDescent="0.15">
      <c r="A36" s="19">
        <f t="shared" si="1"/>
        <v>25</v>
      </c>
      <c r="B36" s="41"/>
      <c r="C36" s="43"/>
      <c r="D36" s="9"/>
      <c r="E36" s="13"/>
      <c r="F36" s="1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</row>
    <row r="37" spans="1:68" s="16" customFormat="1" x14ac:dyDescent="0.15">
      <c r="A37" s="19">
        <f t="shared" si="1"/>
        <v>26</v>
      </c>
      <c r="B37" s="41"/>
      <c r="C37" s="43"/>
      <c r="D37" s="9"/>
      <c r="E37" s="13"/>
      <c r="F37" s="1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</row>
    <row r="38" spans="1:68" s="16" customFormat="1" x14ac:dyDescent="0.15">
      <c r="A38" s="19">
        <f t="shared" si="1"/>
        <v>27</v>
      </c>
      <c r="B38" s="41"/>
      <c r="C38" s="43"/>
      <c r="D38" s="9"/>
      <c r="E38" s="13"/>
      <c r="F38" s="1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</row>
    <row r="39" spans="1:68" s="16" customFormat="1" x14ac:dyDescent="0.15">
      <c r="A39" s="19">
        <f t="shared" si="1"/>
        <v>28</v>
      </c>
      <c r="B39" s="41"/>
      <c r="C39" s="43"/>
      <c r="D39" s="9"/>
      <c r="E39" s="13"/>
      <c r="F39" s="1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</row>
    <row r="40" spans="1:68" s="16" customFormat="1" x14ac:dyDescent="0.15">
      <c r="A40" s="19">
        <f t="shared" si="1"/>
        <v>29</v>
      </c>
      <c r="B40" s="41"/>
      <c r="C40" s="43"/>
      <c r="D40" s="9"/>
      <c r="E40" s="13"/>
      <c r="F40" s="1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</row>
    <row r="41" spans="1:68" s="16" customFormat="1" x14ac:dyDescent="0.15">
      <c r="A41" s="19">
        <f t="shared" si="1"/>
        <v>30</v>
      </c>
      <c r="B41" s="41"/>
      <c r="C41" s="43"/>
      <c r="D41" s="9"/>
      <c r="E41" s="13"/>
      <c r="F41" s="1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</row>
    <row r="42" spans="1:68" s="16" customFormat="1" x14ac:dyDescent="0.15">
      <c r="A42" s="19">
        <v>31</v>
      </c>
      <c r="B42" s="41"/>
      <c r="C42" s="43"/>
      <c r="D42" s="9"/>
      <c r="E42" s="13"/>
      <c r="F42" s="1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</row>
    <row r="43" spans="1:68" x14ac:dyDescent="0.15">
      <c r="A43" s="19">
        <v>32</v>
      </c>
      <c r="B43" s="41"/>
      <c r="C43" s="43"/>
      <c r="E43" s="13"/>
      <c r="F43" s="1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</row>
    <row r="44" spans="1:68" x14ac:dyDescent="0.15">
      <c r="A44" s="19">
        <v>33</v>
      </c>
      <c r="B44" s="41"/>
      <c r="C44" s="43"/>
      <c r="E44" s="13"/>
      <c r="F44" s="1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</row>
    <row r="45" spans="1:68" x14ac:dyDescent="0.15">
      <c r="A45" s="19">
        <v>34</v>
      </c>
      <c r="B45" s="41"/>
      <c r="C45" s="43"/>
      <c r="E45" s="13"/>
      <c r="F45" s="1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</row>
    <row r="46" spans="1:68" x14ac:dyDescent="0.15">
      <c r="A46" s="19">
        <v>35</v>
      </c>
      <c r="B46" s="41"/>
      <c r="C46" s="43"/>
      <c r="E46" s="13"/>
      <c r="F46" s="1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</row>
    <row r="47" spans="1:68" x14ac:dyDescent="0.15">
      <c r="A47" s="19">
        <v>36</v>
      </c>
      <c r="B47" s="41"/>
      <c r="C47" s="43"/>
      <c r="E47" s="13"/>
      <c r="F47" s="1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</row>
    <row r="48" spans="1:68" x14ac:dyDescent="0.15">
      <c r="A48" s="19">
        <v>37</v>
      </c>
      <c r="B48" s="41"/>
      <c r="C48" s="43"/>
      <c r="E48" s="13"/>
      <c r="F48" s="1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</row>
    <row r="49" spans="1:68" x14ac:dyDescent="0.15">
      <c r="A49" s="19">
        <v>38</v>
      </c>
      <c r="B49" s="41"/>
      <c r="C49" s="43"/>
      <c r="E49" s="13"/>
      <c r="F49" s="1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</row>
    <row r="50" spans="1:68" x14ac:dyDescent="0.15">
      <c r="A50" s="19">
        <v>39</v>
      </c>
      <c r="B50" s="41"/>
      <c r="C50" s="43"/>
      <c r="E50" s="13"/>
      <c r="F50" s="1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</row>
    <row r="51" spans="1:68" x14ac:dyDescent="0.15">
      <c r="A51" s="19">
        <v>40</v>
      </c>
      <c r="B51" s="41"/>
      <c r="C51" s="43"/>
      <c r="E51" s="13"/>
      <c r="F51" s="1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</row>
    <row r="52" spans="1:68" x14ac:dyDescent="0.15">
      <c r="A52" s="19">
        <v>41</v>
      </c>
      <c r="B52" s="41"/>
      <c r="C52" s="43"/>
      <c r="E52" s="13"/>
      <c r="F52" s="1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</row>
    <row r="53" spans="1:68" x14ac:dyDescent="0.15">
      <c r="A53" s="19">
        <v>42</v>
      </c>
      <c r="B53" s="41"/>
      <c r="C53" s="43"/>
      <c r="E53" s="13"/>
      <c r="F53" s="1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</row>
    <row r="54" spans="1:68" x14ac:dyDescent="0.15">
      <c r="A54" s="19">
        <v>43</v>
      </c>
      <c r="B54" s="41"/>
      <c r="C54" s="43"/>
      <c r="E54" s="13"/>
      <c r="F54" s="1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</row>
    <row r="55" spans="1:68" x14ac:dyDescent="0.15">
      <c r="A55" s="19">
        <v>44</v>
      </c>
      <c r="B55" s="41"/>
      <c r="C55" s="43"/>
      <c r="E55" s="13"/>
      <c r="F55" s="1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</row>
    <row r="56" spans="1:68" x14ac:dyDescent="0.15">
      <c r="A56" s="19">
        <v>45</v>
      </c>
      <c r="B56" s="41"/>
      <c r="C56" s="43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</row>
    <row r="57" spans="1:68" x14ac:dyDescent="0.15">
      <c r="A57" s="19">
        <v>46</v>
      </c>
      <c r="B57" s="41"/>
      <c r="C57" s="43"/>
      <c r="E57" s="13"/>
      <c r="F57" s="1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</row>
    <row r="58" spans="1:68" x14ac:dyDescent="0.15">
      <c r="A58" s="19">
        <v>47</v>
      </c>
      <c r="B58" s="41"/>
      <c r="C58" s="43"/>
      <c r="E58" s="13"/>
      <c r="F58" s="1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</row>
    <row r="59" spans="1:68" x14ac:dyDescent="0.15">
      <c r="A59" s="19">
        <v>48</v>
      </c>
      <c r="B59" s="41"/>
      <c r="C59" s="43"/>
      <c r="E59" s="13"/>
      <c r="F59" s="1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</row>
    <row r="60" spans="1:68" x14ac:dyDescent="0.15">
      <c r="A60" s="19">
        <v>49</v>
      </c>
      <c r="B60" s="41"/>
      <c r="C60" s="43"/>
      <c r="E60" s="13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</row>
    <row r="61" spans="1:68" x14ac:dyDescent="0.15">
      <c r="A61" s="19">
        <v>50</v>
      </c>
      <c r="B61" s="41"/>
      <c r="C61" s="43"/>
      <c r="E61" s="13"/>
      <c r="F61" s="1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</row>
  </sheetData>
  <sheetProtection formatCells="0"/>
  <mergeCells count="54">
    <mergeCell ref="B13:C13"/>
    <mergeCell ref="A10:A11"/>
    <mergeCell ref="B10:C11"/>
    <mergeCell ref="E10:E11"/>
    <mergeCell ref="F10:F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49:C49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61:C61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</mergeCells>
  <phoneticPr fontId="2"/>
  <dataValidations count="2">
    <dataValidation type="list" allowBlank="1" showInputMessage="1" sqref="G8:I8 G12:AX61" xr:uid="{60A0CB03-E720-4C8B-B7DE-526793A3F433}">
      <formula1>"(null)"</formula1>
    </dataValidation>
    <dataValidation type="list" allowBlank="1" showInputMessage="1" showErrorMessage="1" sqref="E12:E61" xr:uid="{C57DFD43-A909-403F-A6D3-95AC1B5084E4}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>
    <oddHeader>&amp;C&amp;A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sendDenbunAndSplitResponseSeibu">
                <anchor moveWithCells="1" sizeWithCells="1">
                  <from>
                    <xdr:col>1</xdr:col>
                    <xdr:colOff>28575</xdr:colOff>
                    <xdr:row>4</xdr:row>
                    <xdr:rowOff>123825</xdr:rowOff>
                  </from>
                  <to>
                    <xdr:col>1</xdr:col>
                    <xdr:colOff>619125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3C5790-41A0-4225-AB9C-6EDD0CAC20A5}">
          <x14:formula1>
            <xm:f>項目名!$C$3:$C$4</xm:f>
          </x14:formula1>
          <xm:sqref>C4</xm:sqref>
        </x14:dataValidation>
        <x14:dataValidation type="list" allowBlank="1" showInputMessage="1" showErrorMessage="1" xr:uid="{D1CB591A-FB17-4F75-A38A-3D2EF4F8629F}">
          <x14:formula1>
            <xm:f>項目名!$B$3:$B$4</xm:f>
          </x14:formula1>
          <xm:sqref>B4</xm:sqref>
        </x14:dataValidation>
        <x14:dataValidation type="list" allowBlank="1" showInputMessage="1" xr:uid="{76E00506-2356-4419-9726-B1B87A497C30}">
          <x14:formula1>
            <xm:f>項目名!$D$3:$D$5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44063-6823-4F5A-925B-67AB99A92658}">
  <sheetPr codeName="Sheet8"/>
  <dimension ref="A1:BP61"/>
  <sheetViews>
    <sheetView zoomScale="115" zoomScaleNormal="115" workbookViewId="0"/>
  </sheetViews>
  <sheetFormatPr defaultRowHeight="10.5" x14ac:dyDescent="0.15"/>
  <cols>
    <col min="1" max="1" width="3.5" style="9" customWidth="1"/>
    <col min="2" max="2" width="15.125" style="9" customWidth="1"/>
    <col min="3" max="3" width="95.5" style="9" customWidth="1"/>
    <col min="4" max="4" width="7.75" style="9" customWidth="1"/>
    <col min="5" max="5" width="9" style="9"/>
    <col min="6" max="6" width="8" style="9" customWidth="1"/>
    <col min="7" max="50" width="9" style="9"/>
    <col min="51" max="51" width="4.5" style="9" customWidth="1"/>
    <col min="52" max="16384" width="9" style="9"/>
  </cols>
  <sheetData>
    <row r="1" spans="1:68" x14ac:dyDescent="0.15">
      <c r="B1" s="11" t="s">
        <v>31</v>
      </c>
      <c r="C1" s="31" t="str">
        <f>IF(ISBLANK($B$1),"",共通設定値!$C$7&amp;IF(LEFT($B$1,1)="/",$B$1,"/"&amp;$B$1))</f>
        <v>http://internal-stg-spc-pap-int-alb-1979801768.ap-northeast-1.elb.amazonaws.com/crm/XmlDataService</v>
      </c>
    </row>
    <row r="3" spans="1:68" x14ac:dyDescent="0.15">
      <c r="B3" s="11" t="s">
        <v>32</v>
      </c>
      <c r="C3" s="11" t="s">
        <v>33</v>
      </c>
    </row>
    <row r="4" spans="1:68" x14ac:dyDescent="0.15">
      <c r="B4" s="32" t="s">
        <v>37</v>
      </c>
      <c r="C4" s="32" t="s">
        <v>39</v>
      </c>
    </row>
    <row r="6" spans="1:68" ht="13.5" x14ac:dyDescent="0.15">
      <c r="K6" s="1"/>
    </row>
    <row r="7" spans="1:68" x14ac:dyDescent="0.15">
      <c r="C7" s="34"/>
      <c r="E7" s="20" t="s">
        <v>204</v>
      </c>
      <c r="F7" s="18"/>
      <c r="G7" s="18"/>
      <c r="H7" s="18"/>
      <c r="I7" s="18"/>
    </row>
    <row r="8" spans="1:68" x14ac:dyDescent="0.15">
      <c r="E8" s="20"/>
      <c r="F8" s="18"/>
      <c r="G8" s="17"/>
      <c r="H8" s="17"/>
      <c r="I8" s="17"/>
    </row>
    <row r="9" spans="1:68" x14ac:dyDescent="0.15">
      <c r="G9" s="15" t="s">
        <v>205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68" x14ac:dyDescent="0.15">
      <c r="A10" s="45" t="s">
        <v>17</v>
      </c>
      <c r="B10" s="44" t="s">
        <v>6</v>
      </c>
      <c r="C10" s="44"/>
      <c r="E10" s="47" t="s">
        <v>4</v>
      </c>
      <c r="F10" s="48" t="s">
        <v>16</v>
      </c>
      <c r="G10" s="30" t="s">
        <v>52</v>
      </c>
      <c r="H10" s="30" t="s">
        <v>53</v>
      </c>
      <c r="I10" s="30" t="s">
        <v>54</v>
      </c>
      <c r="J10" s="30" t="s">
        <v>55</v>
      </c>
      <c r="K10" s="30" t="s">
        <v>56</v>
      </c>
      <c r="L10" s="30" t="s">
        <v>57</v>
      </c>
      <c r="M10" s="30" t="s">
        <v>58</v>
      </c>
      <c r="N10" s="30" t="s">
        <v>59</v>
      </c>
      <c r="O10" s="30" t="s">
        <v>60</v>
      </c>
      <c r="P10" s="30" t="s">
        <v>61</v>
      </c>
      <c r="Q10" s="30" t="s">
        <v>62</v>
      </c>
      <c r="R10" s="30" t="s">
        <v>63</v>
      </c>
      <c r="S10" s="30" t="s">
        <v>64</v>
      </c>
      <c r="T10" s="30" t="s">
        <v>65</v>
      </c>
      <c r="U10" s="30" t="s">
        <v>66</v>
      </c>
      <c r="V10" s="30" t="s">
        <v>67</v>
      </c>
      <c r="W10" s="30" t="s">
        <v>68</v>
      </c>
      <c r="X10" s="30" t="s">
        <v>69</v>
      </c>
      <c r="Y10" s="30" t="s">
        <v>70</v>
      </c>
      <c r="Z10" s="30" t="s">
        <v>71</v>
      </c>
      <c r="AA10" s="30" t="s">
        <v>72</v>
      </c>
      <c r="AB10" s="30" t="s">
        <v>73</v>
      </c>
      <c r="AC10" s="30" t="s">
        <v>74</v>
      </c>
      <c r="AD10" s="30" t="s">
        <v>75</v>
      </c>
      <c r="AE10" s="30" t="s">
        <v>76</v>
      </c>
      <c r="AF10" s="30" t="s">
        <v>77</v>
      </c>
      <c r="AG10" s="30" t="s">
        <v>78</v>
      </c>
      <c r="AH10" s="30" t="s">
        <v>79</v>
      </c>
      <c r="AI10" s="30" t="s">
        <v>80</v>
      </c>
      <c r="AJ10" s="30" t="s">
        <v>81</v>
      </c>
      <c r="AK10" s="30" t="s">
        <v>82</v>
      </c>
      <c r="AL10" s="30" t="s">
        <v>83</v>
      </c>
      <c r="AM10" s="30" t="s">
        <v>84</v>
      </c>
      <c r="AN10" s="30" t="s">
        <v>85</v>
      </c>
      <c r="AO10" s="30" t="s">
        <v>86</v>
      </c>
      <c r="AP10" s="30" t="s">
        <v>87</v>
      </c>
      <c r="AQ10" s="30" t="s">
        <v>88</v>
      </c>
      <c r="AR10" s="30" t="s">
        <v>89</v>
      </c>
      <c r="AS10" s="30" t="s">
        <v>90</v>
      </c>
      <c r="AT10" s="30" t="s">
        <v>91</v>
      </c>
      <c r="AU10" s="30" t="s">
        <v>92</v>
      </c>
      <c r="AV10" s="30" t="s">
        <v>93</v>
      </c>
      <c r="AW10" s="30" t="s">
        <v>94</v>
      </c>
      <c r="AX10" s="30" t="s">
        <v>95</v>
      </c>
      <c r="AY10" s="30" t="s">
        <v>96</v>
      </c>
      <c r="AZ10" s="30" t="s">
        <v>97</v>
      </c>
      <c r="BA10" s="30" t="s">
        <v>98</v>
      </c>
      <c r="BB10" s="30" t="s">
        <v>99</v>
      </c>
      <c r="BC10" s="30" t="s">
        <v>100</v>
      </c>
      <c r="BD10" s="30" t="s">
        <v>101</v>
      </c>
      <c r="BE10" s="30" t="s">
        <v>102</v>
      </c>
      <c r="BF10" s="30" t="s">
        <v>103</v>
      </c>
      <c r="BG10" s="30" t="s">
        <v>104</v>
      </c>
      <c r="BH10" s="30" t="s">
        <v>105</v>
      </c>
      <c r="BI10" s="30" t="s">
        <v>106</v>
      </c>
      <c r="BJ10" s="30" t="s">
        <v>107</v>
      </c>
      <c r="BK10" s="30" t="s">
        <v>108</v>
      </c>
      <c r="BL10" s="30" t="s">
        <v>109</v>
      </c>
      <c r="BM10" s="30" t="s">
        <v>110</v>
      </c>
      <c r="BN10" s="30" t="s">
        <v>111</v>
      </c>
      <c r="BO10" s="30" t="s">
        <v>112</v>
      </c>
      <c r="BP10" s="30" t="s">
        <v>113</v>
      </c>
    </row>
    <row r="11" spans="1:68" x14ac:dyDescent="0.15">
      <c r="A11" s="46"/>
      <c r="B11" s="44"/>
      <c r="C11" s="44"/>
      <c r="E11" s="47"/>
      <c r="F11" s="47"/>
      <c r="G11" s="30" t="s">
        <v>114</v>
      </c>
      <c r="H11" s="30" t="s">
        <v>115</v>
      </c>
      <c r="I11" s="30" t="s">
        <v>116</v>
      </c>
      <c r="J11" s="30" t="s">
        <v>117</v>
      </c>
      <c r="K11" s="30" t="s">
        <v>118</v>
      </c>
      <c r="L11" s="30" t="s">
        <v>119</v>
      </c>
      <c r="M11" s="30" t="s">
        <v>120</v>
      </c>
      <c r="N11" s="30" t="s">
        <v>121</v>
      </c>
      <c r="O11" s="30" t="s">
        <v>122</v>
      </c>
      <c r="P11" s="30" t="s">
        <v>123</v>
      </c>
      <c r="Q11" s="30" t="s">
        <v>124</v>
      </c>
      <c r="R11" s="30" t="s">
        <v>125</v>
      </c>
      <c r="S11" s="30" t="s">
        <v>126</v>
      </c>
      <c r="T11" s="30" t="s">
        <v>127</v>
      </c>
      <c r="U11" s="30" t="s">
        <v>9</v>
      </c>
      <c r="V11" s="30" t="s">
        <v>128</v>
      </c>
      <c r="W11" s="30" t="s">
        <v>129</v>
      </c>
      <c r="X11" s="30" t="s">
        <v>130</v>
      </c>
      <c r="Y11" s="30" t="s">
        <v>131</v>
      </c>
      <c r="Z11" s="30" t="s">
        <v>132</v>
      </c>
      <c r="AA11" s="30" t="s">
        <v>133</v>
      </c>
      <c r="AB11" s="30" t="s">
        <v>134</v>
      </c>
      <c r="AC11" s="30" t="s">
        <v>135</v>
      </c>
      <c r="AD11" s="30" t="s">
        <v>136</v>
      </c>
      <c r="AE11" s="30" t="s">
        <v>137</v>
      </c>
      <c r="AF11" s="30" t="s">
        <v>138</v>
      </c>
      <c r="AG11" s="30" t="s">
        <v>139</v>
      </c>
      <c r="AH11" s="30" t="s">
        <v>140</v>
      </c>
      <c r="AI11" s="30" t="s">
        <v>141</v>
      </c>
      <c r="AJ11" s="30" t="s">
        <v>142</v>
      </c>
      <c r="AK11" s="30" t="s">
        <v>143</v>
      </c>
      <c r="AL11" s="30" t="s">
        <v>144</v>
      </c>
      <c r="AM11" s="30" t="s">
        <v>145</v>
      </c>
      <c r="AN11" s="30" t="s">
        <v>146</v>
      </c>
      <c r="AO11" s="30" t="s">
        <v>147</v>
      </c>
      <c r="AP11" s="30" t="s">
        <v>148</v>
      </c>
      <c r="AQ11" s="30" t="s">
        <v>149</v>
      </c>
      <c r="AR11" s="30" t="s">
        <v>150</v>
      </c>
      <c r="AS11" s="30" t="s">
        <v>151</v>
      </c>
      <c r="AT11" s="30" t="s">
        <v>152</v>
      </c>
      <c r="AU11" s="30" t="s">
        <v>153</v>
      </c>
      <c r="AV11" s="30" t="s">
        <v>154</v>
      </c>
      <c r="AW11" s="30" t="s">
        <v>155</v>
      </c>
      <c r="AX11" s="30" t="s">
        <v>156</v>
      </c>
      <c r="AY11" s="30" t="s">
        <v>157</v>
      </c>
      <c r="AZ11" s="30" t="s">
        <v>158</v>
      </c>
      <c r="BA11" s="30" t="s">
        <v>159</v>
      </c>
      <c r="BB11" s="30" t="s">
        <v>160</v>
      </c>
      <c r="BC11" s="30" t="s">
        <v>161</v>
      </c>
      <c r="BD11" s="30" t="s">
        <v>162</v>
      </c>
      <c r="BE11" s="30" t="s">
        <v>163</v>
      </c>
      <c r="BF11" s="30" t="s">
        <v>164</v>
      </c>
      <c r="BG11" s="30" t="s">
        <v>165</v>
      </c>
      <c r="BH11" s="30" t="s">
        <v>166</v>
      </c>
      <c r="BI11" s="30" t="s">
        <v>167</v>
      </c>
      <c r="BJ11" s="30" t="s">
        <v>168</v>
      </c>
      <c r="BK11" s="30" t="s">
        <v>169</v>
      </c>
      <c r="BL11" s="30" t="s">
        <v>170</v>
      </c>
      <c r="BM11" s="30" t="s">
        <v>171</v>
      </c>
      <c r="BN11" s="30" t="s">
        <v>172</v>
      </c>
      <c r="BO11" s="30" t="s">
        <v>173</v>
      </c>
      <c r="BP11" s="30" t="s">
        <v>174</v>
      </c>
    </row>
    <row r="12" spans="1:68" s="16" customFormat="1" x14ac:dyDescent="0.15">
      <c r="A12" s="19">
        <f t="shared" ref="A12:A41" si="0">ROW()-11</f>
        <v>1</v>
      </c>
      <c r="B12" s="41" t="s">
        <v>202</v>
      </c>
      <c r="C12" s="43"/>
      <c r="D12" s="9"/>
      <c r="E12" s="13" t="s">
        <v>5</v>
      </c>
      <c r="F12" s="14" t="s">
        <v>198</v>
      </c>
      <c r="G12" s="12" t="s">
        <v>197</v>
      </c>
      <c r="H12" s="12" t="s">
        <v>190</v>
      </c>
      <c r="I12" s="12" t="s">
        <v>191</v>
      </c>
      <c r="J12" s="12" t="s">
        <v>189</v>
      </c>
      <c r="K12" s="12" t="s">
        <v>190</v>
      </c>
      <c r="L12" s="12" t="s">
        <v>191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 t="s">
        <v>188</v>
      </c>
      <c r="BG12" s="12"/>
      <c r="BH12" s="12"/>
      <c r="BI12" s="12"/>
      <c r="BJ12" s="12"/>
      <c r="BK12" s="12"/>
      <c r="BL12" s="12"/>
      <c r="BM12" s="12"/>
      <c r="BN12" s="12"/>
      <c r="BO12" s="12"/>
      <c r="BP12" s="12"/>
    </row>
    <row r="13" spans="1:68" s="16" customFormat="1" x14ac:dyDescent="0.15">
      <c r="A13" s="19">
        <f t="shared" si="0"/>
        <v>2</v>
      </c>
      <c r="B13" s="41"/>
      <c r="C13" s="43"/>
      <c r="D13" s="9"/>
      <c r="E13" s="13"/>
      <c r="F13" s="1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</row>
    <row r="14" spans="1:68" s="16" customFormat="1" x14ac:dyDescent="0.15">
      <c r="A14" s="19">
        <f t="shared" si="0"/>
        <v>3</v>
      </c>
      <c r="B14" s="41"/>
      <c r="C14" s="43"/>
      <c r="D14" s="9"/>
      <c r="E14" s="13"/>
      <c r="F14" s="1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</row>
    <row r="15" spans="1:68" s="16" customFormat="1" x14ac:dyDescent="0.15">
      <c r="A15" s="19">
        <f t="shared" si="0"/>
        <v>4</v>
      </c>
      <c r="B15" s="49"/>
      <c r="C15" s="49"/>
      <c r="D15" s="9"/>
      <c r="E15" s="13"/>
      <c r="F15" s="1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</row>
    <row r="16" spans="1:68" s="16" customFormat="1" x14ac:dyDescent="0.15">
      <c r="A16" s="19">
        <f t="shared" si="0"/>
        <v>5</v>
      </c>
      <c r="B16" s="49"/>
      <c r="C16" s="49"/>
      <c r="D16" s="9"/>
      <c r="E16" s="13"/>
      <c r="F16" s="1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</row>
    <row r="17" spans="1:68" s="16" customFormat="1" x14ac:dyDescent="0.15">
      <c r="A17" s="19">
        <f t="shared" si="0"/>
        <v>6</v>
      </c>
      <c r="B17" s="49"/>
      <c r="C17" s="49"/>
      <c r="D17" s="9"/>
      <c r="E17" s="13"/>
      <c r="F17" s="1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</row>
    <row r="18" spans="1:68" s="16" customFormat="1" x14ac:dyDescent="0.15">
      <c r="A18" s="19">
        <f t="shared" si="0"/>
        <v>7</v>
      </c>
      <c r="B18" s="49"/>
      <c r="C18" s="49"/>
      <c r="D18" s="9"/>
      <c r="E18" s="13"/>
      <c r="F18" s="1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</row>
    <row r="19" spans="1:68" s="16" customFormat="1" x14ac:dyDescent="0.15">
      <c r="A19" s="19">
        <f t="shared" si="0"/>
        <v>8</v>
      </c>
      <c r="B19" s="49"/>
      <c r="C19" s="49"/>
      <c r="D19" s="9"/>
      <c r="E19" s="13"/>
      <c r="F19" s="1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</row>
    <row r="20" spans="1:68" s="16" customFormat="1" x14ac:dyDescent="0.15">
      <c r="A20" s="19">
        <f t="shared" si="0"/>
        <v>9</v>
      </c>
      <c r="B20" s="49"/>
      <c r="C20" s="49"/>
      <c r="D20" s="9"/>
      <c r="E20" s="13"/>
      <c r="F20" s="1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</row>
    <row r="21" spans="1:68" s="16" customFormat="1" x14ac:dyDescent="0.15">
      <c r="A21" s="19">
        <f t="shared" si="0"/>
        <v>10</v>
      </c>
      <c r="B21" s="49"/>
      <c r="C21" s="49"/>
      <c r="D21" s="9"/>
      <c r="E21" s="13"/>
      <c r="F21" s="1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</row>
    <row r="22" spans="1:68" s="16" customFormat="1" x14ac:dyDescent="0.15">
      <c r="A22" s="19">
        <f t="shared" si="0"/>
        <v>11</v>
      </c>
      <c r="B22" s="49"/>
      <c r="C22" s="49"/>
      <c r="D22" s="9"/>
      <c r="E22" s="13"/>
      <c r="F22" s="1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</row>
    <row r="23" spans="1:68" s="16" customFormat="1" x14ac:dyDescent="0.15">
      <c r="A23" s="19">
        <f t="shared" si="0"/>
        <v>12</v>
      </c>
      <c r="B23" s="49"/>
      <c r="C23" s="49"/>
      <c r="D23" s="9"/>
      <c r="E23" s="13"/>
      <c r="F23" s="1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</row>
    <row r="24" spans="1:68" s="16" customFormat="1" x14ac:dyDescent="0.15">
      <c r="A24" s="19">
        <f t="shared" si="0"/>
        <v>13</v>
      </c>
      <c r="B24" s="49"/>
      <c r="C24" s="49"/>
      <c r="D24" s="9"/>
      <c r="E24" s="13"/>
      <c r="F24" s="1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</row>
    <row r="25" spans="1:68" s="16" customFormat="1" x14ac:dyDescent="0.15">
      <c r="A25" s="19">
        <f t="shared" si="0"/>
        <v>14</v>
      </c>
      <c r="B25" s="49"/>
      <c r="C25" s="49"/>
      <c r="D25" s="9"/>
      <c r="E25" s="13"/>
      <c r="F25" s="1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</row>
    <row r="26" spans="1:68" s="16" customFormat="1" x14ac:dyDescent="0.15">
      <c r="A26" s="19">
        <f t="shared" si="0"/>
        <v>15</v>
      </c>
      <c r="B26" s="49"/>
      <c r="C26" s="49"/>
      <c r="D26" s="9"/>
      <c r="E26" s="13"/>
      <c r="F26" s="1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</row>
    <row r="27" spans="1:68" s="16" customFormat="1" x14ac:dyDescent="0.15">
      <c r="A27" s="19">
        <f t="shared" si="0"/>
        <v>16</v>
      </c>
      <c r="B27" s="49"/>
      <c r="C27" s="49"/>
      <c r="D27" s="9"/>
      <c r="E27" s="13"/>
      <c r="F27" s="1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</row>
    <row r="28" spans="1:68" s="16" customFormat="1" x14ac:dyDescent="0.15">
      <c r="A28" s="19">
        <f t="shared" si="0"/>
        <v>17</v>
      </c>
      <c r="B28" s="49"/>
      <c r="C28" s="49"/>
      <c r="D28" s="9"/>
      <c r="E28" s="13"/>
      <c r="F28" s="1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</row>
    <row r="29" spans="1:68" s="16" customFormat="1" x14ac:dyDescent="0.15">
      <c r="A29" s="19">
        <f t="shared" si="0"/>
        <v>18</v>
      </c>
      <c r="B29" s="49"/>
      <c r="C29" s="49"/>
      <c r="D29" s="9"/>
      <c r="E29" s="13"/>
      <c r="F29" s="1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</row>
    <row r="30" spans="1:68" s="16" customFormat="1" x14ac:dyDescent="0.15">
      <c r="A30" s="19">
        <f t="shared" si="0"/>
        <v>19</v>
      </c>
      <c r="B30" s="49"/>
      <c r="C30" s="49"/>
      <c r="D30" s="9"/>
      <c r="E30" s="13"/>
      <c r="F30" s="1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</row>
    <row r="31" spans="1:68" s="16" customFormat="1" x14ac:dyDescent="0.15">
      <c r="A31" s="19">
        <f t="shared" si="0"/>
        <v>20</v>
      </c>
      <c r="B31" s="49"/>
      <c r="C31" s="49"/>
      <c r="D31" s="9"/>
      <c r="E31" s="13"/>
      <c r="F31" s="1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</row>
    <row r="32" spans="1:68" s="16" customFormat="1" x14ac:dyDescent="0.15">
      <c r="A32" s="19">
        <f t="shared" si="0"/>
        <v>21</v>
      </c>
      <c r="B32" s="49"/>
      <c r="C32" s="49"/>
      <c r="D32" s="9"/>
      <c r="E32" s="13"/>
      <c r="F32" s="1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</row>
    <row r="33" spans="1:68" s="16" customFormat="1" x14ac:dyDescent="0.15">
      <c r="A33" s="19">
        <f t="shared" si="0"/>
        <v>22</v>
      </c>
      <c r="B33" s="49"/>
      <c r="C33" s="49"/>
      <c r="D33" s="9"/>
      <c r="E33" s="13"/>
      <c r="F33" s="1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</row>
    <row r="34" spans="1:68" s="16" customFormat="1" x14ac:dyDescent="0.15">
      <c r="A34" s="19">
        <f t="shared" si="0"/>
        <v>23</v>
      </c>
      <c r="B34" s="49"/>
      <c r="C34" s="49"/>
      <c r="D34" s="9"/>
      <c r="E34" s="13"/>
      <c r="F34" s="1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</row>
    <row r="35" spans="1:68" s="16" customFormat="1" x14ac:dyDescent="0.15">
      <c r="A35" s="19">
        <f t="shared" si="0"/>
        <v>24</v>
      </c>
      <c r="B35" s="49"/>
      <c r="C35" s="49"/>
      <c r="D35" s="9"/>
      <c r="E35" s="13"/>
      <c r="F35" s="1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</row>
    <row r="36" spans="1:68" s="16" customFormat="1" x14ac:dyDescent="0.15">
      <c r="A36" s="19">
        <f t="shared" si="0"/>
        <v>25</v>
      </c>
      <c r="B36" s="49"/>
      <c r="C36" s="49"/>
      <c r="D36" s="9"/>
      <c r="E36" s="13"/>
      <c r="F36" s="1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</row>
    <row r="37" spans="1:68" s="16" customFormat="1" x14ac:dyDescent="0.15">
      <c r="A37" s="19">
        <f t="shared" si="0"/>
        <v>26</v>
      </c>
      <c r="B37" s="49"/>
      <c r="C37" s="49"/>
      <c r="D37" s="9"/>
      <c r="E37" s="13"/>
      <c r="F37" s="1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</row>
    <row r="38" spans="1:68" s="16" customFormat="1" x14ac:dyDescent="0.15">
      <c r="A38" s="19">
        <f t="shared" si="0"/>
        <v>27</v>
      </c>
      <c r="B38" s="49"/>
      <c r="C38" s="49"/>
      <c r="D38" s="9"/>
      <c r="E38" s="13"/>
      <c r="F38" s="1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</row>
    <row r="39" spans="1:68" s="16" customFormat="1" x14ac:dyDescent="0.15">
      <c r="A39" s="19">
        <f t="shared" si="0"/>
        <v>28</v>
      </c>
      <c r="B39" s="49"/>
      <c r="C39" s="49"/>
      <c r="D39" s="9"/>
      <c r="E39" s="13"/>
      <c r="F39" s="1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</row>
    <row r="40" spans="1:68" s="16" customFormat="1" x14ac:dyDescent="0.15">
      <c r="A40" s="19">
        <f t="shared" si="0"/>
        <v>29</v>
      </c>
      <c r="B40" s="49"/>
      <c r="C40" s="49"/>
      <c r="D40" s="9"/>
      <c r="E40" s="13"/>
      <c r="F40" s="1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</row>
    <row r="41" spans="1:68" s="16" customFormat="1" x14ac:dyDescent="0.15">
      <c r="A41" s="19">
        <f t="shared" si="0"/>
        <v>30</v>
      </c>
      <c r="B41" s="49"/>
      <c r="C41" s="49"/>
      <c r="D41" s="9"/>
      <c r="E41" s="13"/>
      <c r="F41" s="1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</row>
    <row r="42" spans="1:68" s="16" customFormat="1" x14ac:dyDescent="0.15">
      <c r="A42" s="19">
        <v>31</v>
      </c>
      <c r="B42" s="49"/>
      <c r="C42" s="49"/>
      <c r="D42" s="9"/>
      <c r="E42" s="13"/>
      <c r="F42" s="1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</row>
    <row r="43" spans="1:68" x14ac:dyDescent="0.15">
      <c r="A43" s="19">
        <v>32</v>
      </c>
      <c r="B43" s="49"/>
      <c r="C43" s="49"/>
      <c r="E43" s="13"/>
      <c r="F43" s="1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</row>
    <row r="44" spans="1:68" x14ac:dyDescent="0.15">
      <c r="A44" s="19">
        <v>33</v>
      </c>
      <c r="B44" s="49"/>
      <c r="C44" s="49"/>
      <c r="E44" s="13"/>
      <c r="F44" s="1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</row>
    <row r="45" spans="1:68" x14ac:dyDescent="0.15">
      <c r="A45" s="19">
        <v>34</v>
      </c>
      <c r="B45" s="49"/>
      <c r="C45" s="49"/>
      <c r="E45" s="13"/>
      <c r="F45" s="1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</row>
    <row r="46" spans="1:68" x14ac:dyDescent="0.15">
      <c r="A46" s="19">
        <v>35</v>
      </c>
      <c r="B46" s="49"/>
      <c r="C46" s="49"/>
      <c r="E46" s="13"/>
      <c r="F46" s="1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</row>
    <row r="47" spans="1:68" x14ac:dyDescent="0.15">
      <c r="A47" s="19">
        <v>36</v>
      </c>
      <c r="B47" s="49"/>
      <c r="C47" s="49"/>
      <c r="E47" s="13"/>
      <c r="F47" s="1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</row>
    <row r="48" spans="1:68" x14ac:dyDescent="0.15">
      <c r="A48" s="19">
        <v>37</v>
      </c>
      <c r="B48" s="49"/>
      <c r="C48" s="49"/>
      <c r="E48" s="13"/>
      <c r="F48" s="1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</row>
    <row r="49" spans="1:68" x14ac:dyDescent="0.15">
      <c r="A49" s="19">
        <v>38</v>
      </c>
      <c r="B49" s="49"/>
      <c r="C49" s="49"/>
      <c r="E49" s="13"/>
      <c r="F49" s="1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</row>
    <row r="50" spans="1:68" x14ac:dyDescent="0.15">
      <c r="A50" s="19">
        <v>39</v>
      </c>
      <c r="B50" s="49"/>
      <c r="C50" s="49"/>
      <c r="E50" s="13"/>
      <c r="F50" s="1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</row>
    <row r="51" spans="1:68" x14ac:dyDescent="0.15">
      <c r="A51" s="19">
        <v>40</v>
      </c>
      <c r="B51" s="49"/>
      <c r="C51" s="49"/>
      <c r="E51" s="13"/>
      <c r="F51" s="1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</row>
    <row r="52" spans="1:68" x14ac:dyDescent="0.15">
      <c r="A52" s="19">
        <v>41</v>
      </c>
      <c r="B52" s="49"/>
      <c r="C52" s="49"/>
      <c r="E52" s="13"/>
      <c r="F52" s="1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</row>
    <row r="53" spans="1:68" x14ac:dyDescent="0.15">
      <c r="A53" s="19">
        <v>42</v>
      </c>
      <c r="B53" s="49"/>
      <c r="C53" s="49"/>
      <c r="E53" s="13"/>
      <c r="F53" s="1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</row>
    <row r="54" spans="1:68" x14ac:dyDescent="0.15">
      <c r="A54" s="19">
        <v>43</v>
      </c>
      <c r="B54" s="49"/>
      <c r="C54" s="49"/>
      <c r="E54" s="13"/>
      <c r="F54" s="1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</row>
    <row r="55" spans="1:68" x14ac:dyDescent="0.15">
      <c r="A55" s="19">
        <v>44</v>
      </c>
      <c r="B55" s="49"/>
      <c r="C55" s="49"/>
      <c r="E55" s="13"/>
      <c r="F55" s="1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</row>
    <row r="56" spans="1:68" x14ac:dyDescent="0.15">
      <c r="A56" s="19">
        <v>45</v>
      </c>
      <c r="B56" s="49"/>
      <c r="C56" s="49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</row>
    <row r="57" spans="1:68" x14ac:dyDescent="0.15">
      <c r="A57" s="19">
        <v>46</v>
      </c>
      <c r="B57" s="49"/>
      <c r="C57" s="49"/>
      <c r="E57" s="13"/>
      <c r="F57" s="1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</row>
    <row r="58" spans="1:68" x14ac:dyDescent="0.15">
      <c r="A58" s="19">
        <v>47</v>
      </c>
      <c r="B58" s="49"/>
      <c r="C58" s="49"/>
      <c r="E58" s="13"/>
      <c r="F58" s="1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</row>
    <row r="59" spans="1:68" x14ac:dyDescent="0.15">
      <c r="A59" s="19">
        <v>48</v>
      </c>
      <c r="B59" s="49"/>
      <c r="C59" s="49"/>
      <c r="E59" s="13"/>
      <c r="F59" s="1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</row>
    <row r="60" spans="1:68" x14ac:dyDescent="0.15">
      <c r="A60" s="19">
        <v>49</v>
      </c>
      <c r="B60" s="49"/>
      <c r="C60" s="49"/>
      <c r="E60" s="13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</row>
    <row r="61" spans="1:68" x14ac:dyDescent="0.15">
      <c r="A61" s="19">
        <v>50</v>
      </c>
      <c r="B61" s="49"/>
      <c r="C61" s="49"/>
      <c r="E61" s="13"/>
      <c r="F61" s="1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</row>
  </sheetData>
  <sheetProtection formatCells="0"/>
  <mergeCells count="54">
    <mergeCell ref="B13:C13"/>
    <mergeCell ref="A10:A11"/>
    <mergeCell ref="B10:C11"/>
    <mergeCell ref="E10:E11"/>
    <mergeCell ref="F10:F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49:C49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61:C61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</mergeCells>
  <phoneticPr fontId="2"/>
  <dataValidations count="2">
    <dataValidation type="list" allowBlank="1" showInputMessage="1" sqref="G8:I8 G12:AX61" xr:uid="{A37224CF-834F-498F-84F1-6C8C34F5695F}">
      <formula1>"(null)"</formula1>
    </dataValidation>
    <dataValidation type="list" allowBlank="1" showInputMessage="1" showErrorMessage="1" sqref="E12:E61" xr:uid="{60F3C1EB-BD86-4FC1-A13A-96DAF4BE180B}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>
    <oddHeader>&amp;C&amp;A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sendDenbunAndSplitResponseSeibu">
                <anchor moveWithCells="1" sizeWithCells="1">
                  <from>
                    <xdr:col>1</xdr:col>
                    <xdr:colOff>28575</xdr:colOff>
                    <xdr:row>4</xdr:row>
                    <xdr:rowOff>123825</xdr:rowOff>
                  </from>
                  <to>
                    <xdr:col>1</xdr:col>
                    <xdr:colOff>619125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7A7FD-CA3F-42EA-BD99-9B38792CAD11}">
          <x14:formula1>
            <xm:f>項目名!$C$3:$C$4</xm:f>
          </x14:formula1>
          <xm:sqref>C4</xm:sqref>
        </x14:dataValidation>
        <x14:dataValidation type="list" allowBlank="1" showInputMessage="1" showErrorMessage="1" xr:uid="{1B3B5188-D3EA-4E5A-9433-866CFF58E1C7}">
          <x14:formula1>
            <xm:f>項目名!$B$3:$B$4</xm:f>
          </x14:formula1>
          <xm:sqref>B4</xm:sqref>
        </x14:dataValidation>
        <x14:dataValidation type="list" allowBlank="1" showInputMessage="1" xr:uid="{D8A1CB04-0F7B-4A86-BF2D-0116E446499E}">
          <x14:formula1>
            <xm:f>項目名!$D$3:$D$5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A38B-8207-444B-9724-05E8D1582859}">
  <sheetPr codeName="Sheet6"/>
  <dimension ref="A1:BP61"/>
  <sheetViews>
    <sheetView zoomScale="115" zoomScaleNormal="115" workbookViewId="0"/>
  </sheetViews>
  <sheetFormatPr defaultRowHeight="10.5" x14ac:dyDescent="0.15"/>
  <cols>
    <col min="1" max="1" width="3.5" style="9" customWidth="1"/>
    <col min="2" max="2" width="15.125" style="9" customWidth="1"/>
    <col min="3" max="3" width="95.5" style="9" customWidth="1"/>
    <col min="4" max="4" width="7.75" style="9" customWidth="1"/>
    <col min="5" max="5" width="9" style="9"/>
    <col min="6" max="6" width="8" style="9" customWidth="1"/>
    <col min="7" max="50" width="9" style="9"/>
    <col min="51" max="51" width="4.5" style="9" customWidth="1"/>
    <col min="52" max="16384" width="9" style="9"/>
  </cols>
  <sheetData>
    <row r="1" spans="1:68" x14ac:dyDescent="0.15">
      <c r="B1" s="11" t="s">
        <v>40</v>
      </c>
      <c r="C1" s="31" t="str">
        <f>IF(ISBLANK($B$1),"",共通設定値!$C$7&amp;IF(LEFT($B$1,1)="/",$B$1,"/"&amp;$B$1))</f>
        <v>http://internal-stg-spc-pap-int-alb-1979801768.ap-northeast-1.elb.amazonaws.com/web/XmlDataService</v>
      </c>
    </row>
    <row r="3" spans="1:68" x14ac:dyDescent="0.15">
      <c r="B3" s="11" t="s">
        <v>32</v>
      </c>
      <c r="C3" s="11" t="s">
        <v>33</v>
      </c>
    </row>
    <row r="4" spans="1:68" x14ac:dyDescent="0.15">
      <c r="B4" s="32" t="s">
        <v>37</v>
      </c>
      <c r="C4" s="32" t="s">
        <v>50</v>
      </c>
    </row>
    <row r="6" spans="1:68" ht="13.5" x14ac:dyDescent="0.15">
      <c r="K6" s="1"/>
    </row>
    <row r="7" spans="1:68" x14ac:dyDescent="0.15">
      <c r="C7" s="34"/>
      <c r="E7" s="20" t="s">
        <v>204</v>
      </c>
      <c r="F7" s="18"/>
      <c r="G7" s="18"/>
      <c r="H7" s="18"/>
      <c r="I7" s="18"/>
    </row>
    <row r="8" spans="1:68" x14ac:dyDescent="0.15">
      <c r="E8" s="20"/>
      <c r="F8" s="18"/>
      <c r="G8" s="17"/>
      <c r="H8" s="17"/>
      <c r="I8" s="17"/>
    </row>
    <row r="9" spans="1:68" x14ac:dyDescent="0.15">
      <c r="G9" s="15" t="s">
        <v>205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68" x14ac:dyDescent="0.15">
      <c r="A10" s="45" t="s">
        <v>17</v>
      </c>
      <c r="B10" s="44" t="s">
        <v>6</v>
      </c>
      <c r="C10" s="44"/>
      <c r="E10" s="47" t="s">
        <v>4</v>
      </c>
      <c r="F10" s="48" t="s">
        <v>16</v>
      </c>
      <c r="G10" s="30" t="s">
        <v>181</v>
      </c>
      <c r="H10" s="30" t="s">
        <v>182</v>
      </c>
      <c r="I10" s="30" t="s">
        <v>183</v>
      </c>
      <c r="J10" s="30" t="s">
        <v>184</v>
      </c>
      <c r="K10" s="30" t="s">
        <v>185</v>
      </c>
      <c r="L10" s="30" t="s">
        <v>186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</row>
    <row r="11" spans="1:68" x14ac:dyDescent="0.15">
      <c r="A11" s="46"/>
      <c r="B11" s="44"/>
      <c r="C11" s="44"/>
      <c r="E11" s="47"/>
      <c r="F11" s="47"/>
      <c r="G11" s="30" t="s">
        <v>175</v>
      </c>
      <c r="H11" s="30" t="s">
        <v>176</v>
      </c>
      <c r="I11" s="30" t="s">
        <v>177</v>
      </c>
      <c r="J11" s="30" t="s">
        <v>178</v>
      </c>
      <c r="K11" s="30" t="s">
        <v>179</v>
      </c>
      <c r="L11" s="30" t="s">
        <v>180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</row>
    <row r="12" spans="1:68" s="16" customFormat="1" x14ac:dyDescent="0.15">
      <c r="A12" s="19">
        <f t="shared" ref="A12:A41" si="0">ROW()-11</f>
        <v>1</v>
      </c>
      <c r="B12" s="28" t="s">
        <v>187</v>
      </c>
      <c r="C12" s="29"/>
      <c r="D12" s="9"/>
      <c r="E12" s="13" t="s">
        <v>5</v>
      </c>
      <c r="F12" s="14" t="s">
        <v>196</v>
      </c>
      <c r="G12" s="12" t="s">
        <v>195</v>
      </c>
      <c r="H12" s="12" t="s">
        <v>190</v>
      </c>
      <c r="I12" s="12" t="s">
        <v>191</v>
      </c>
      <c r="J12" s="12"/>
      <c r="K12" s="12" t="s">
        <v>188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</row>
    <row r="13" spans="1:68" s="16" customFormat="1" x14ac:dyDescent="0.15">
      <c r="A13" s="19">
        <f t="shared" si="0"/>
        <v>2</v>
      </c>
      <c r="B13" s="28"/>
      <c r="C13" s="29"/>
      <c r="D13" s="9"/>
      <c r="E13" s="13"/>
      <c r="F13" s="1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</row>
    <row r="14" spans="1:68" s="16" customFormat="1" x14ac:dyDescent="0.15">
      <c r="A14" s="19">
        <f t="shared" si="0"/>
        <v>3</v>
      </c>
      <c r="B14" s="28"/>
      <c r="C14" s="29"/>
      <c r="D14" s="9"/>
      <c r="E14" s="13"/>
      <c r="F14" s="1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</row>
    <row r="15" spans="1:68" s="16" customFormat="1" x14ac:dyDescent="0.15">
      <c r="A15" s="19">
        <f t="shared" si="0"/>
        <v>4</v>
      </c>
      <c r="B15" s="28"/>
      <c r="C15" s="29"/>
      <c r="D15" s="9"/>
      <c r="E15" s="13"/>
      <c r="F15" s="1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</row>
    <row r="16" spans="1:68" s="16" customFormat="1" x14ac:dyDescent="0.15">
      <c r="A16" s="19">
        <f t="shared" si="0"/>
        <v>5</v>
      </c>
      <c r="B16" s="28"/>
      <c r="C16" s="29"/>
      <c r="D16" s="9"/>
      <c r="E16" s="13"/>
      <c r="F16" s="1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</row>
    <row r="17" spans="1:68" s="16" customFormat="1" x14ac:dyDescent="0.15">
      <c r="A17" s="19">
        <f t="shared" si="0"/>
        <v>6</v>
      </c>
      <c r="B17" s="28"/>
      <c r="C17" s="29"/>
      <c r="D17" s="9"/>
      <c r="E17" s="13"/>
      <c r="F17" s="1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</row>
    <row r="18" spans="1:68" s="16" customFormat="1" x14ac:dyDescent="0.15">
      <c r="A18" s="19">
        <f t="shared" si="0"/>
        <v>7</v>
      </c>
      <c r="B18" s="28"/>
      <c r="C18" s="29"/>
      <c r="D18" s="9"/>
      <c r="E18" s="13"/>
      <c r="F18" s="1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</row>
    <row r="19" spans="1:68" s="16" customFormat="1" x14ac:dyDescent="0.15">
      <c r="A19" s="19">
        <f t="shared" si="0"/>
        <v>8</v>
      </c>
      <c r="B19" s="28"/>
      <c r="C19" s="29"/>
      <c r="D19" s="9"/>
      <c r="E19" s="13"/>
      <c r="F19" s="1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</row>
    <row r="20" spans="1:68" s="16" customFormat="1" x14ac:dyDescent="0.15">
      <c r="A20" s="19">
        <f t="shared" si="0"/>
        <v>9</v>
      </c>
      <c r="B20" s="28"/>
      <c r="C20" s="29"/>
      <c r="D20" s="9"/>
      <c r="E20" s="13"/>
      <c r="F20" s="1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</row>
    <row r="21" spans="1:68" s="16" customFormat="1" x14ac:dyDescent="0.15">
      <c r="A21" s="19">
        <f t="shared" si="0"/>
        <v>10</v>
      </c>
      <c r="B21" s="28"/>
      <c r="C21" s="29"/>
      <c r="D21" s="9"/>
      <c r="E21" s="13"/>
      <c r="F21" s="1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</row>
    <row r="22" spans="1:68" s="16" customFormat="1" x14ac:dyDescent="0.15">
      <c r="A22" s="19">
        <f t="shared" si="0"/>
        <v>11</v>
      </c>
      <c r="B22" s="28"/>
      <c r="C22" s="29"/>
      <c r="D22" s="9"/>
      <c r="E22" s="13"/>
      <c r="F22" s="1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</row>
    <row r="23" spans="1:68" s="16" customFormat="1" x14ac:dyDescent="0.15">
      <c r="A23" s="19">
        <f t="shared" si="0"/>
        <v>12</v>
      </c>
      <c r="B23" s="28"/>
      <c r="C23" s="29"/>
      <c r="D23" s="9"/>
      <c r="E23" s="13"/>
      <c r="F23" s="1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</row>
    <row r="24" spans="1:68" s="16" customFormat="1" x14ac:dyDescent="0.15">
      <c r="A24" s="19">
        <f t="shared" si="0"/>
        <v>13</v>
      </c>
      <c r="B24" s="28"/>
      <c r="C24" s="29"/>
      <c r="D24" s="9"/>
      <c r="E24" s="13"/>
      <c r="F24" s="1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</row>
    <row r="25" spans="1:68" s="16" customFormat="1" x14ac:dyDescent="0.15">
      <c r="A25" s="19">
        <f t="shared" si="0"/>
        <v>14</v>
      </c>
      <c r="B25" s="28"/>
      <c r="C25" s="29"/>
      <c r="D25" s="9"/>
      <c r="E25" s="13"/>
      <c r="F25" s="1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</row>
    <row r="26" spans="1:68" s="16" customFormat="1" x14ac:dyDescent="0.15">
      <c r="A26" s="19">
        <f t="shared" si="0"/>
        <v>15</v>
      </c>
      <c r="B26" s="28"/>
      <c r="C26" s="29"/>
      <c r="D26" s="9"/>
      <c r="E26" s="13"/>
      <c r="F26" s="1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</row>
    <row r="27" spans="1:68" s="16" customFormat="1" x14ac:dyDescent="0.15">
      <c r="A27" s="19">
        <f t="shared" si="0"/>
        <v>16</v>
      </c>
      <c r="B27" s="28"/>
      <c r="C27" s="29"/>
      <c r="D27" s="9"/>
      <c r="E27" s="13"/>
      <c r="F27" s="1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</row>
    <row r="28" spans="1:68" s="16" customFormat="1" x14ac:dyDescent="0.15">
      <c r="A28" s="19">
        <f t="shared" si="0"/>
        <v>17</v>
      </c>
      <c r="B28" s="28"/>
      <c r="C28" s="29"/>
      <c r="D28" s="9"/>
      <c r="E28" s="13"/>
      <c r="F28" s="1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</row>
    <row r="29" spans="1:68" s="16" customFormat="1" x14ac:dyDescent="0.15">
      <c r="A29" s="19">
        <f t="shared" si="0"/>
        <v>18</v>
      </c>
      <c r="B29" s="28"/>
      <c r="C29" s="29"/>
      <c r="D29" s="9"/>
      <c r="E29" s="13"/>
      <c r="F29" s="1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</row>
    <row r="30" spans="1:68" s="16" customFormat="1" x14ac:dyDescent="0.15">
      <c r="A30" s="19">
        <f t="shared" si="0"/>
        <v>19</v>
      </c>
      <c r="B30" s="28"/>
      <c r="C30" s="29"/>
      <c r="D30" s="9"/>
      <c r="E30" s="13"/>
      <c r="F30" s="1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</row>
    <row r="31" spans="1:68" s="16" customFormat="1" x14ac:dyDescent="0.15">
      <c r="A31" s="19">
        <f t="shared" si="0"/>
        <v>20</v>
      </c>
      <c r="B31" s="28"/>
      <c r="C31" s="29"/>
      <c r="D31" s="9"/>
      <c r="E31" s="13"/>
      <c r="F31" s="1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</row>
    <row r="32" spans="1:68" s="16" customFormat="1" x14ac:dyDescent="0.15">
      <c r="A32" s="19">
        <f t="shared" si="0"/>
        <v>21</v>
      </c>
      <c r="B32" s="28"/>
      <c r="C32" s="29"/>
      <c r="D32" s="9"/>
      <c r="E32" s="13"/>
      <c r="F32" s="1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</row>
    <row r="33" spans="1:68" s="16" customFormat="1" x14ac:dyDescent="0.15">
      <c r="A33" s="19">
        <f t="shared" si="0"/>
        <v>22</v>
      </c>
      <c r="B33" s="28"/>
      <c r="C33" s="29"/>
      <c r="D33" s="9"/>
      <c r="E33" s="13"/>
      <c r="F33" s="1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</row>
    <row r="34" spans="1:68" s="16" customFormat="1" x14ac:dyDescent="0.15">
      <c r="A34" s="19">
        <f t="shared" si="0"/>
        <v>23</v>
      </c>
      <c r="B34" s="28"/>
      <c r="C34" s="29"/>
      <c r="D34" s="9"/>
      <c r="E34" s="13"/>
      <c r="F34" s="1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</row>
    <row r="35" spans="1:68" s="16" customFormat="1" x14ac:dyDescent="0.15">
      <c r="A35" s="19">
        <f t="shared" si="0"/>
        <v>24</v>
      </c>
      <c r="B35" s="28"/>
      <c r="C35" s="29"/>
      <c r="D35" s="9"/>
      <c r="E35" s="13"/>
      <c r="F35" s="1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</row>
    <row r="36" spans="1:68" s="16" customFormat="1" x14ac:dyDescent="0.15">
      <c r="A36" s="19">
        <f t="shared" si="0"/>
        <v>25</v>
      </c>
      <c r="B36" s="28"/>
      <c r="C36" s="29"/>
      <c r="D36" s="9"/>
      <c r="E36" s="13"/>
      <c r="F36" s="1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</row>
    <row r="37" spans="1:68" s="16" customFormat="1" x14ac:dyDescent="0.15">
      <c r="A37" s="19">
        <f t="shared" si="0"/>
        <v>26</v>
      </c>
      <c r="B37" s="28"/>
      <c r="C37" s="29"/>
      <c r="D37" s="9"/>
      <c r="E37" s="13"/>
      <c r="F37" s="1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</row>
    <row r="38" spans="1:68" s="16" customFormat="1" x14ac:dyDescent="0.15">
      <c r="A38" s="19">
        <f t="shared" si="0"/>
        <v>27</v>
      </c>
      <c r="B38" s="28"/>
      <c r="C38" s="29"/>
      <c r="D38" s="9"/>
      <c r="E38" s="13"/>
      <c r="F38" s="1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</row>
    <row r="39" spans="1:68" s="16" customFormat="1" x14ac:dyDescent="0.15">
      <c r="A39" s="19">
        <f t="shared" si="0"/>
        <v>28</v>
      </c>
      <c r="B39" s="28"/>
      <c r="C39" s="29"/>
      <c r="D39" s="9"/>
      <c r="E39" s="13"/>
      <c r="F39" s="1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</row>
    <row r="40" spans="1:68" s="16" customFormat="1" x14ac:dyDescent="0.15">
      <c r="A40" s="19">
        <f t="shared" si="0"/>
        <v>29</v>
      </c>
      <c r="B40" s="28"/>
      <c r="C40" s="29"/>
      <c r="D40" s="9"/>
      <c r="E40" s="13"/>
      <c r="F40" s="1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</row>
    <row r="41" spans="1:68" s="16" customFormat="1" x14ac:dyDescent="0.15">
      <c r="A41" s="19">
        <f t="shared" si="0"/>
        <v>30</v>
      </c>
      <c r="B41" s="28"/>
      <c r="C41" s="29"/>
      <c r="D41" s="9"/>
      <c r="E41" s="13"/>
      <c r="F41" s="1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</row>
    <row r="42" spans="1:68" s="16" customFormat="1" x14ac:dyDescent="0.15">
      <c r="A42" s="19">
        <v>31</v>
      </c>
      <c r="B42" s="28"/>
      <c r="C42" s="29"/>
      <c r="D42" s="9"/>
      <c r="E42" s="13"/>
      <c r="F42" s="1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</row>
    <row r="43" spans="1:68" x14ac:dyDescent="0.15">
      <c r="A43" s="19">
        <v>32</v>
      </c>
      <c r="B43" s="49"/>
      <c r="C43" s="49"/>
      <c r="E43" s="13"/>
      <c r="F43" s="1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</row>
    <row r="44" spans="1:68" x14ac:dyDescent="0.15">
      <c r="A44" s="19">
        <v>33</v>
      </c>
      <c r="B44" s="49"/>
      <c r="C44" s="49"/>
      <c r="E44" s="13"/>
      <c r="F44" s="1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</row>
    <row r="45" spans="1:68" x14ac:dyDescent="0.15">
      <c r="A45" s="19">
        <v>34</v>
      </c>
      <c r="B45" s="49"/>
      <c r="C45" s="49"/>
      <c r="E45" s="13"/>
      <c r="F45" s="1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</row>
    <row r="46" spans="1:68" x14ac:dyDescent="0.15">
      <c r="A46" s="19">
        <v>35</v>
      </c>
      <c r="B46" s="49"/>
      <c r="C46" s="49"/>
      <c r="E46" s="13"/>
      <c r="F46" s="1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</row>
    <row r="47" spans="1:68" x14ac:dyDescent="0.15">
      <c r="A47" s="19">
        <v>36</v>
      </c>
      <c r="B47" s="49"/>
      <c r="C47" s="49"/>
      <c r="E47" s="13"/>
      <c r="F47" s="1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</row>
    <row r="48" spans="1:68" x14ac:dyDescent="0.15">
      <c r="A48" s="19">
        <v>37</v>
      </c>
      <c r="B48" s="49"/>
      <c r="C48" s="49"/>
      <c r="E48" s="13"/>
      <c r="F48" s="1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</row>
    <row r="49" spans="1:68" x14ac:dyDescent="0.15">
      <c r="A49" s="19">
        <v>38</v>
      </c>
      <c r="B49" s="49"/>
      <c r="C49" s="49"/>
      <c r="E49" s="13"/>
      <c r="F49" s="1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</row>
    <row r="50" spans="1:68" x14ac:dyDescent="0.15">
      <c r="A50" s="19">
        <v>39</v>
      </c>
      <c r="B50" s="49"/>
      <c r="C50" s="49"/>
      <c r="E50" s="13"/>
      <c r="F50" s="1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</row>
    <row r="51" spans="1:68" x14ac:dyDescent="0.15">
      <c r="A51" s="19">
        <v>40</v>
      </c>
      <c r="B51" s="49"/>
      <c r="C51" s="49"/>
      <c r="E51" s="13"/>
      <c r="F51" s="1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</row>
    <row r="52" spans="1:68" x14ac:dyDescent="0.15">
      <c r="A52" s="19">
        <v>41</v>
      </c>
      <c r="B52" s="49"/>
      <c r="C52" s="49"/>
      <c r="E52" s="13"/>
      <c r="F52" s="1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</row>
    <row r="53" spans="1:68" x14ac:dyDescent="0.15">
      <c r="A53" s="19">
        <v>42</v>
      </c>
      <c r="B53" s="49"/>
      <c r="C53" s="49"/>
      <c r="E53" s="13"/>
      <c r="F53" s="1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</row>
    <row r="54" spans="1:68" x14ac:dyDescent="0.15">
      <c r="A54" s="19">
        <v>43</v>
      </c>
      <c r="B54" s="49"/>
      <c r="C54" s="49"/>
      <c r="E54" s="13"/>
      <c r="F54" s="1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</row>
    <row r="55" spans="1:68" x14ac:dyDescent="0.15">
      <c r="A55" s="19">
        <v>44</v>
      </c>
      <c r="B55" s="49"/>
      <c r="C55" s="49"/>
      <c r="E55" s="13"/>
      <c r="F55" s="1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</row>
    <row r="56" spans="1:68" x14ac:dyDescent="0.15">
      <c r="A56" s="19">
        <v>45</v>
      </c>
      <c r="B56" s="49"/>
      <c r="C56" s="49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</row>
    <row r="57" spans="1:68" x14ac:dyDescent="0.15">
      <c r="A57" s="19">
        <v>46</v>
      </c>
      <c r="B57" s="49"/>
      <c r="C57" s="49"/>
      <c r="E57" s="13"/>
      <c r="F57" s="1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</row>
    <row r="58" spans="1:68" x14ac:dyDescent="0.15">
      <c r="A58" s="19">
        <v>47</v>
      </c>
      <c r="B58" s="49"/>
      <c r="C58" s="49"/>
      <c r="E58" s="13"/>
      <c r="F58" s="1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</row>
    <row r="59" spans="1:68" x14ac:dyDescent="0.15">
      <c r="A59" s="19">
        <v>48</v>
      </c>
      <c r="B59" s="49"/>
      <c r="C59" s="49"/>
      <c r="E59" s="13"/>
      <c r="F59" s="1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</row>
    <row r="60" spans="1:68" x14ac:dyDescent="0.15">
      <c r="A60" s="19">
        <v>49</v>
      </c>
      <c r="B60" s="49"/>
      <c r="C60" s="49"/>
      <c r="E60" s="13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</row>
    <row r="61" spans="1:68" x14ac:dyDescent="0.15">
      <c r="A61" s="19">
        <v>50</v>
      </c>
      <c r="B61" s="49"/>
      <c r="C61" s="49"/>
      <c r="E61" s="13"/>
      <c r="F61" s="1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</row>
  </sheetData>
  <sheetProtection formatCells="0"/>
  <mergeCells count="23">
    <mergeCell ref="F10:F11"/>
    <mergeCell ref="B49:C49"/>
    <mergeCell ref="B43:C43"/>
    <mergeCell ref="A10:A11"/>
    <mergeCell ref="B10:C11"/>
    <mergeCell ref="E10:E11"/>
    <mergeCell ref="B44:C44"/>
    <mergeCell ref="B45:C45"/>
    <mergeCell ref="B46:C46"/>
    <mergeCell ref="B47:C47"/>
    <mergeCell ref="B48:C48"/>
    <mergeCell ref="B61:C61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</mergeCells>
  <phoneticPr fontId="2"/>
  <dataValidations count="2">
    <dataValidation type="list" allowBlank="1" showInputMessage="1" sqref="G8:I8 G12:AX61" xr:uid="{93D1C6C7-E859-44C2-A8C9-BEAB169C041F}">
      <formula1>"(null)"</formula1>
    </dataValidation>
    <dataValidation type="list" allowBlank="1" showInputMessage="1" showErrorMessage="1" sqref="E12:E61" xr:uid="{1B557357-EDFB-4E9F-9897-17144B95FEA9}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>
    <oddHeader>&amp;C&amp;A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sendDenbunAndSplitResponseSeibu">
                <anchor moveWithCells="1" sizeWithCells="1">
                  <from>
                    <xdr:col>1</xdr:col>
                    <xdr:colOff>28575</xdr:colOff>
                    <xdr:row>4</xdr:row>
                    <xdr:rowOff>123825</xdr:rowOff>
                  </from>
                  <to>
                    <xdr:col>1</xdr:col>
                    <xdr:colOff>619125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5476C0-0AE4-4A5D-8A59-A90856D21D19}">
          <x14:formula1>
            <xm:f>項目名!$C$3:$C$4</xm:f>
          </x14:formula1>
          <xm:sqref>C4</xm:sqref>
        </x14:dataValidation>
        <x14:dataValidation type="list" allowBlank="1" showInputMessage="1" showErrorMessage="1" xr:uid="{5E64A0C9-C71B-4A9B-A6A5-CE8EF408479D}">
          <x14:formula1>
            <xm:f>項目名!$B$3:$B$4</xm:f>
          </x14:formula1>
          <xm:sqref>B4</xm:sqref>
        </x14:dataValidation>
        <x14:dataValidation type="list" allowBlank="1" showInputMessage="1" xr:uid="{A5AA8807-E715-4ED4-84DD-658798EF729B}">
          <x14:formula1>
            <xm:f>項目名!$D$3:$D$5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共通設定値</vt:lpstr>
      <vt:lpstr>使用方法</vt:lpstr>
      <vt:lpstr>★テンプレート</vt:lpstr>
      <vt:lpstr>項目名</vt:lpstr>
      <vt:lpstr>IF1060_PI</vt:lpstr>
      <vt:lpstr>IF9000_CRM</vt:lpstr>
      <vt:lpstr>IF9140_WEB</vt:lpstr>
    </vt:vector>
  </TitlesOfParts>
  <Company>日立ソフト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miyazaki</dc:creator>
  <cp:lastModifiedBy>溝邊　貴裕</cp:lastModifiedBy>
  <dcterms:created xsi:type="dcterms:W3CDTF">2008-07-17T05:20:27Z</dcterms:created>
  <dcterms:modified xsi:type="dcterms:W3CDTF">2019-09-10T02:09:43Z</dcterms:modified>
</cp:coreProperties>
</file>
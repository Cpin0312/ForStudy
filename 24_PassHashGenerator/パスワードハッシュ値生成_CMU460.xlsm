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sol\Desktop\"/>
    </mc:Choice>
  </mc:AlternateContent>
  <xr:revisionPtr revIDLastSave="0" documentId="13_ncr:1_{EB1688A8-3AC9-46BC-8668-E637E0AC3E3F}" xr6:coauthVersionLast="45" xr6:coauthVersionMax="45" xr10:uidLastSave="{00000000-0000-0000-0000-000000000000}"/>
  <bookViews>
    <workbookView xWindow="-120" yWindow="-120" windowWidth="29040" windowHeight="15840" tabRatio="838" firstSheet="4" activeTab="6" xr2:uid="{00000000-000D-0000-FFFF-FFFF00000000}"/>
  </bookViews>
  <sheets>
    <sheet name="共通設定値" sheetId="1" state="hidden" r:id="rId1"/>
    <sheet name="使用方法" sheetId="2" state="hidden" r:id="rId2"/>
    <sheet name="★テンプレート" sheetId="3" state="hidden" r:id="rId3"/>
    <sheet name="項目名" sheetId="27" state="hidden" r:id="rId4"/>
    <sheet name="変更履歴" sheetId="37" r:id="rId5"/>
    <sheet name="手順" sheetId="39" r:id="rId6"/>
    <sheet name="ハッシュ値生成" sheetId="35" r:id="rId7"/>
    <sheet name="server.xml" sheetId="41" r:id="rId8"/>
    <sheet name="ハッシュ値生成_bk" sheetId="43" state="hidden" r:id="rId9"/>
  </sheets>
  <functionGroups builtInGroupCount="19"/>
  <definedNames>
    <definedName name="_xlnm.Print_Area" localSheetId="4">変更履歴!$A$1:$G$31</definedName>
    <definedName name="_xlnm.Print_Titles" localSheetId="4">変更履歴!$2:$2</definedName>
  </definedNames>
  <calcPr calcId="191029"/>
  <customWorkbookViews>
    <customWorkbookView name="HISOL中村 - 個人用ビュー" guid="{713FC75E-AADE-44AD-B2AA-5D63E9472B67}" mergeInterval="0" personalView="1" maximized="1" windowWidth="1346" windowHeight="552" tabRatio="838" activeSheetId="5"/>
    <customWorkbookView name="鏡味 - 個人用ビュー" guid="{E98BF95A-7ED6-4B0B-8907-C5A38FFF3ED8}" mergeInterval="0" personalView="1" maximized="1" windowWidth="1916" windowHeight="780" tabRatio="838" activeSheetId="21"/>
    <customWorkbookView name="inui(TFC) - 個人用ビュー" guid="{45578662-6FBF-4681-81C5-CEBCFF726519}" mergeInterval="0" personalView="1" maximized="1" windowWidth="1916" windowHeight="832" tabRatio="838" activeSheetId="22"/>
    <customWorkbookView name="inui - 個人用ビュー" guid="{7F0D5A42-E3C9-43F0-AD48-3918E9B5B3FF}" mergeInterval="0" personalView="1" maximized="1" windowWidth="1916" windowHeight="850" tabRatio="838" activeSheetId="5"/>
    <customWorkbookView name="山本準 - 個人用ビュー" guid="{58AA5558-1303-4FBC-AB7B-E0F77F1E425C}" mergeInterval="0" personalView="1" maximized="1" windowWidth="1916" windowHeight="831" tabRatio="838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35" l="1"/>
  <c r="C1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30" i="35"/>
  <c r="A31" i="35"/>
  <c r="A32" i="35"/>
  <c r="A33" i="35"/>
  <c r="A34" i="35"/>
  <c r="A35" i="35"/>
  <c r="A36" i="35"/>
  <c r="A28" i="35" l="1"/>
  <c r="A29" i="35"/>
  <c r="A37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12" i="35"/>
  <c r="C5" i="1" l="1"/>
  <c r="C6" i="1"/>
  <c r="C4" i="1"/>
  <c r="C7" i="1" l="1"/>
  <c r="C1" i="3" l="1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C9" i="1" l="1"/>
</calcChain>
</file>

<file path=xl/sharedStrings.xml><?xml version="1.0" encoding="utf-8"?>
<sst xmlns="http://schemas.openxmlformats.org/spreadsheetml/2006/main" count="342" uniqueCount="195">
  <si>
    <t>キー</t>
    <phoneticPr fontId="2"/>
  </si>
  <si>
    <t>値</t>
    <rPh sb="0" eb="1">
      <t>アタイ</t>
    </rPh>
    <phoneticPr fontId="2"/>
  </si>
  <si>
    <t>URL</t>
    <phoneticPr fontId="2"/>
  </si>
  <si>
    <t>処理日時</t>
    <rPh sb="0" eb="2">
      <t>ショリ</t>
    </rPh>
    <rPh sb="2" eb="4">
      <t>ニチジ</t>
    </rPh>
    <phoneticPr fontId="2"/>
  </si>
  <si>
    <t>要求可否</t>
  </si>
  <si>
    <t>○</t>
  </si>
  <si>
    <t>応答電文</t>
  </si>
  <si>
    <t>応答電文：</t>
    <rPh sb="0" eb="2">
      <t>オウトウ</t>
    </rPh>
    <rPh sb="2" eb="4">
      <t>デンブン</t>
    </rPh>
    <phoneticPr fontId="2"/>
  </si>
  <si>
    <t>要求電文：</t>
    <rPh sb="0" eb="2">
      <t>ヨウキュウ</t>
    </rPh>
    <rPh sb="2" eb="4">
      <t>デンブン</t>
    </rPh>
    <phoneticPr fontId="2"/>
  </si>
  <si>
    <t>接続先リスト</t>
    <rPh sb="0" eb="2">
      <t>セツゾク</t>
    </rPh>
    <rPh sb="2" eb="3">
      <t>サキ</t>
    </rPh>
    <phoneticPr fontId="2"/>
  </si>
  <si>
    <t>ホスト</t>
    <phoneticPr fontId="3"/>
  </si>
  <si>
    <t>接続先</t>
    <rPh sb="0" eb="2">
      <t>セツゾク</t>
    </rPh>
    <rPh sb="2" eb="3">
      <t>サキ</t>
    </rPh>
    <phoneticPr fontId="3"/>
  </si>
  <si>
    <t>ホスト</t>
    <phoneticPr fontId="2"/>
  </si>
  <si>
    <t>ポート</t>
    <phoneticPr fontId="2"/>
  </si>
  <si>
    <t>「★テンプレート」シートをコピーして使用してください。</t>
    <rPh sb="18" eb="20">
      <t>シヨウ</t>
    </rPh>
    <phoneticPr fontId="2"/>
  </si>
  <si>
    <t>要求電文
(マクロで設定)</t>
    <rPh sb="10" eb="12">
      <t>セッテイ</t>
    </rPh>
    <phoneticPr fontId="2"/>
  </si>
  <si>
    <t>項番</t>
    <rPh sb="0" eb="1">
      <t>コウ</t>
    </rPh>
    <rPh sb="1" eb="2">
      <t>バン</t>
    </rPh>
    <phoneticPr fontId="2"/>
  </si>
  <si>
    <t>②データ部の入力</t>
    <rPh sb="4" eb="5">
      <t>ブ</t>
    </rPh>
    <rPh sb="6" eb="8">
      <t>ニュウリョク</t>
    </rPh>
    <phoneticPr fontId="2"/>
  </si>
  <si>
    <t>①列名の入力</t>
    <rPh sb="1" eb="2">
      <t>レツ</t>
    </rPh>
    <rPh sb="2" eb="3">
      <t>メイ</t>
    </rPh>
    <rPh sb="4" eb="6">
      <t>ニュウリョク</t>
    </rPh>
    <phoneticPr fontId="2"/>
  </si>
  <si>
    <t>送信したい電文のI/Fにあわせ項目名を更新する</t>
  </si>
  <si>
    <t>③送信対象データの設定</t>
    <rPh sb="1" eb="3">
      <t>ソウシン</t>
    </rPh>
    <rPh sb="3" eb="5">
      <t>タイショウ</t>
    </rPh>
    <rPh sb="9" eb="11">
      <t>セッテイ</t>
    </rPh>
    <phoneticPr fontId="2"/>
  </si>
  <si>
    <t>項番が入力されており、且つ要求可否が「○」になっている行が送信対象の電文となります</t>
    <rPh sb="0" eb="1">
      <t>コウ</t>
    </rPh>
    <rPh sb="1" eb="2">
      <t>バン</t>
    </rPh>
    <rPh sb="3" eb="5">
      <t>ニュウリョク</t>
    </rPh>
    <rPh sb="11" eb="12">
      <t>カ</t>
    </rPh>
    <rPh sb="13" eb="15">
      <t>ヨウキュウ</t>
    </rPh>
    <rPh sb="15" eb="17">
      <t>カヒ</t>
    </rPh>
    <rPh sb="27" eb="28">
      <t>ギョウ</t>
    </rPh>
    <rPh sb="29" eb="31">
      <t>ソウシン</t>
    </rPh>
    <rPh sb="31" eb="33">
      <t>タイショウ</t>
    </rPh>
    <rPh sb="34" eb="36">
      <t>デンブン</t>
    </rPh>
    <phoneticPr fontId="2"/>
  </si>
  <si>
    <t>④送信</t>
    <rPh sb="1" eb="3">
      <t>ソウシン</t>
    </rPh>
    <phoneticPr fontId="2"/>
  </si>
  <si>
    <t>リクエスト送信を実行することで、APサーバへ電文が送信されます</t>
  </si>
  <si>
    <t>リクエスト電文の作成手順</t>
    <rPh sb="5" eb="7">
      <t>デンブン</t>
    </rPh>
    <rPh sb="8" eb="10">
      <t>サクセイ</t>
    </rPh>
    <rPh sb="10" eb="12">
      <t>テジュン</t>
    </rPh>
    <phoneticPr fontId="2"/>
  </si>
  <si>
    <t>各項目に対し値を入力する。尚、NULLを指定する場合は、(null)を記述してください。</t>
    <rPh sb="0" eb="1">
      <t>カク</t>
    </rPh>
    <rPh sb="1" eb="3">
      <t>コウモク</t>
    </rPh>
    <rPh sb="4" eb="5">
      <t>タイ</t>
    </rPh>
    <rPh sb="6" eb="7">
      <t>アタイ</t>
    </rPh>
    <rPh sb="8" eb="10">
      <t>ニュウリョク</t>
    </rPh>
    <rPh sb="13" eb="14">
      <t>ナオ</t>
    </rPh>
    <rPh sb="20" eb="22">
      <t>シテイ</t>
    </rPh>
    <rPh sb="24" eb="26">
      <t>バアイ</t>
    </rPh>
    <rPh sb="35" eb="37">
      <t>キジュツ</t>
    </rPh>
    <phoneticPr fontId="2"/>
  </si>
  <si>
    <t>XXXXXXXXXXXXXXXXXXXXXXXXXXXXXXXXXXXXXXX</t>
    <phoneticPr fontId="2"/>
  </si>
  <si>
    <t>リクエスト送信を実行すると、受信した応答電文が以下の欄に出力されます</t>
    <rPh sb="5" eb="7">
      <t>ソウシン</t>
    </rPh>
    <rPh sb="8" eb="10">
      <t>ジッコウ</t>
    </rPh>
    <rPh sb="14" eb="16">
      <t>ジュシン</t>
    </rPh>
    <rPh sb="18" eb="20">
      <t>オウトウ</t>
    </rPh>
    <rPh sb="20" eb="22">
      <t>デンブン</t>
    </rPh>
    <rPh sb="23" eb="25">
      <t>イカ</t>
    </rPh>
    <rPh sb="26" eb="27">
      <t>ラン</t>
    </rPh>
    <rPh sb="28" eb="30">
      <t>シュツリョク</t>
    </rPh>
    <phoneticPr fontId="2"/>
  </si>
  <si>
    <t>localhost</t>
    <phoneticPr fontId="2"/>
  </si>
  <si>
    <t>CT1</t>
    <phoneticPr fontId="2"/>
  </si>
  <si>
    <t>インターフェース</t>
    <phoneticPr fontId="2"/>
  </si>
  <si>
    <t>文字列コード</t>
    <rPh sb="0" eb="3">
      <t>モジレツ</t>
    </rPh>
    <phoneticPr fontId="2"/>
  </si>
  <si>
    <t>インターフェース</t>
    <phoneticPr fontId="2"/>
  </si>
  <si>
    <t>PI</t>
  </si>
  <si>
    <t>PI</t>
    <phoneticPr fontId="2"/>
  </si>
  <si>
    <t>現行IF</t>
    <rPh sb="0" eb="2">
      <t>ゲンコウ</t>
    </rPh>
    <phoneticPr fontId="2"/>
  </si>
  <si>
    <t>文字列コード</t>
    <rPh sb="0" eb="3">
      <t>モジレツ</t>
    </rPh>
    <phoneticPr fontId="2"/>
  </si>
  <si>
    <t>UTF-8</t>
  </si>
  <si>
    <t>/web/XmlDataService</t>
  </si>
  <si>
    <t>/ifxxxx</t>
  </si>
  <si>
    <t>プロトコル</t>
    <phoneticPr fontId="2"/>
  </si>
  <si>
    <t>http</t>
    <phoneticPr fontId="2"/>
  </si>
  <si>
    <t>10.211.247.103</t>
    <phoneticPr fontId="2"/>
  </si>
  <si>
    <t>localhost</t>
    <phoneticPr fontId="2"/>
  </si>
  <si>
    <t>ポート</t>
  </si>
  <si>
    <t>パス</t>
  </si>
  <si>
    <t>パス</t>
    <phoneticPr fontId="2"/>
  </si>
  <si>
    <t>-</t>
    <phoneticPr fontId="2"/>
  </si>
  <si>
    <t>Window-31J (Shift_JIS)</t>
  </si>
  <si>
    <t>Window-31J (Shift_JIS)</t>
    <phoneticPr fontId="2"/>
  </si>
  <si>
    <t>接続先</t>
    <rPh sb="0" eb="3">
      <t>セツゾクサキ</t>
    </rPh>
    <phoneticPr fontId="2"/>
  </si>
  <si>
    <t>/crm/XmlDataService</t>
    <phoneticPr fontId="2"/>
  </si>
  <si>
    <t>関数</t>
    <rPh sb="0" eb="2">
      <t>カンスウ</t>
    </rPh>
    <phoneticPr fontId="2"/>
  </si>
  <si>
    <t>=IF(ISBLANK($B$1),"",共通設定値!$C$7&amp;IF(LEFT($B$1,1)="/",$B$1,"/"&amp;$B$1))</t>
    <phoneticPr fontId="2"/>
  </si>
  <si>
    <t>送信対象</t>
    <rPh sb="0" eb="2">
      <t>ソウシン</t>
    </rPh>
    <rPh sb="2" eb="4">
      <t>タイショウ</t>
    </rPh>
    <phoneticPr fontId="2"/>
  </si>
  <si>
    <t>「送信対象」列に「○」を付けた行について、電文を飛ばす。</t>
    <rPh sb="6" eb="7">
      <t>レツ</t>
    </rPh>
    <rPh sb="12" eb="13">
      <t>ツ</t>
    </rPh>
    <rPh sb="15" eb="16">
      <t>ギョウ</t>
    </rPh>
    <rPh sb="21" eb="23">
      <t>デンブン</t>
    </rPh>
    <rPh sb="24" eb="25">
      <t>ト</t>
    </rPh>
    <phoneticPr fontId="2"/>
  </si>
  <si>
    <t>⇒項目の続く限りパラメータを設定する。</t>
    <rPh sb="1" eb="3">
      <t>コウモク</t>
    </rPh>
    <rPh sb="4" eb="5">
      <t>ツヅ</t>
    </rPh>
    <rPh sb="6" eb="7">
      <t>カギ</t>
    </rPh>
    <rPh sb="14" eb="16">
      <t>セッテイ</t>
    </rPh>
    <phoneticPr fontId="2"/>
  </si>
  <si>
    <t>internal-stg-spc-pap-int-alb-1979801768.ap-northeast-1.elb.amazonaws.com</t>
    <phoneticPr fontId="2"/>
  </si>
  <si>
    <t>検証環境</t>
    <rPh sb="0" eb="4">
      <t>ケンショウカンキョウ</t>
    </rPh>
    <phoneticPr fontId="2"/>
  </si>
  <si>
    <t>-</t>
    <phoneticPr fontId="2"/>
  </si>
  <si>
    <t>localhost</t>
  </si>
  <si>
    <t>/if1060</t>
    <phoneticPr fontId="2"/>
  </si>
  <si>
    <t>入力文字列</t>
  </si>
  <si>
    <t>kaiin_no</t>
  </si>
  <si>
    <t>会員番号</t>
    <rPh sb="0" eb="2">
      <t>カイイン</t>
    </rPh>
    <rPh sb="2" eb="4">
      <t>バンゴウ</t>
    </rPh>
    <phoneticPr fontId="2"/>
  </si>
  <si>
    <t>短縮ハッシュ値</t>
    <rPh sb="0" eb="2">
      <t>タンシュク</t>
    </rPh>
    <rPh sb="6" eb="7">
      <t>チ</t>
    </rPh>
    <phoneticPr fontId="2"/>
  </si>
  <si>
    <t>変更履歴</t>
    <rPh sb="0" eb="2">
      <t>ヘンコウ</t>
    </rPh>
    <rPh sb="2" eb="4">
      <t>リレキ</t>
    </rPh>
    <phoneticPr fontId="2"/>
  </si>
  <si>
    <t>変更日付</t>
    <rPh sb="0" eb="2">
      <t>ヘンコウ</t>
    </rPh>
    <rPh sb="2" eb="4">
      <t>ヒヅケ</t>
    </rPh>
    <phoneticPr fontId="2"/>
  </si>
  <si>
    <t>Ver.</t>
    <phoneticPr fontId="2"/>
  </si>
  <si>
    <t>ドキュメントID</t>
    <phoneticPr fontId="2"/>
  </si>
  <si>
    <t>ドキュメント名称</t>
    <rPh sb="6" eb="8">
      <t>メイショウ</t>
    </rPh>
    <phoneticPr fontId="2"/>
  </si>
  <si>
    <t>変更箇所</t>
    <rPh sb="0" eb="2">
      <t>ヘンコウ</t>
    </rPh>
    <rPh sb="2" eb="4">
      <t>カショ</t>
    </rPh>
    <phoneticPr fontId="2"/>
  </si>
  <si>
    <t>変更内容</t>
    <rPh sb="0" eb="2">
      <t>ヘンコウ</t>
    </rPh>
    <rPh sb="2" eb="4">
      <t>ナイヨウ</t>
    </rPh>
    <phoneticPr fontId="2"/>
  </si>
  <si>
    <t>変更者</t>
    <rPh sb="0" eb="2">
      <t>ヘンコウ</t>
    </rPh>
    <rPh sb="2" eb="3">
      <t>シャ</t>
    </rPh>
    <phoneticPr fontId="2"/>
  </si>
  <si>
    <t>1.00</t>
    <phoneticPr fontId="2"/>
  </si>
  <si>
    <t>新規作成</t>
    <rPh sb="0" eb="2">
      <t>シンキ</t>
    </rPh>
    <rPh sb="2" eb="4">
      <t>サクセイ</t>
    </rPh>
    <phoneticPr fontId="2"/>
  </si>
  <si>
    <t>オウ</t>
    <phoneticPr fontId="2"/>
  </si>
  <si>
    <t>ハッシュ値生成</t>
    <phoneticPr fontId="2"/>
  </si>
  <si>
    <t>実行手順</t>
    <rPh sb="0" eb="2">
      <t>ジッコウ</t>
    </rPh>
    <rPh sb="2" eb="4">
      <t>テジュン</t>
    </rPh>
    <phoneticPr fontId="2"/>
  </si>
  <si>
    <t>①</t>
    <phoneticPr fontId="2"/>
  </si>
  <si>
    <t>②</t>
    <phoneticPr fontId="2"/>
  </si>
  <si>
    <t>※起動できない方は、起動できる方に連絡してください</t>
    <rPh sb="1" eb="3">
      <t>キドウ</t>
    </rPh>
    <rPh sb="7" eb="8">
      <t>カタ</t>
    </rPh>
    <rPh sb="10" eb="12">
      <t>キドウ</t>
    </rPh>
    <rPh sb="15" eb="16">
      <t>カタ</t>
    </rPh>
    <rPh sb="17" eb="19">
      <t>レンラク</t>
    </rPh>
    <phoneticPr fontId="2"/>
  </si>
  <si>
    <t>③</t>
    <phoneticPr fontId="2"/>
  </si>
  <si>
    <t>PisRealTestの最新化とSpcCommonの最新化は必要</t>
    <phoneticPr fontId="2"/>
  </si>
  <si>
    <t xml:space="preserve"> </t>
    <phoneticPr fontId="2"/>
  </si>
  <si>
    <t>④</t>
    <phoneticPr fontId="2"/>
  </si>
  <si>
    <t>セルの移動は禁止されています。</t>
    <rPh sb="3" eb="5">
      <t>イドウ</t>
    </rPh>
    <rPh sb="6" eb="8">
      <t>キンシ</t>
    </rPh>
    <phoneticPr fontId="2"/>
  </si>
  <si>
    <t>お客様番号以外の項目内容の変更は禁止されています。</t>
    <rPh sb="1" eb="3">
      <t>キャクサマ</t>
    </rPh>
    <rPh sb="3" eb="5">
      <t>バンゴウ</t>
    </rPh>
    <rPh sb="5" eb="7">
      <t>イガイ</t>
    </rPh>
    <rPh sb="8" eb="10">
      <t>コウモク</t>
    </rPh>
    <rPh sb="10" eb="12">
      <t>ナイヨウ</t>
    </rPh>
    <rPh sb="13" eb="15">
      <t>ヘンコウ</t>
    </rPh>
    <rPh sb="16" eb="18">
      <t>キンシ</t>
    </rPh>
    <phoneticPr fontId="2"/>
  </si>
  <si>
    <t>禁止事項</t>
    <rPh sb="0" eb="2">
      <t>キンシ</t>
    </rPh>
    <rPh sb="2" eb="4">
      <t>ジコウ</t>
    </rPh>
    <phoneticPr fontId="2"/>
  </si>
  <si>
    <t>注意事項</t>
    <rPh sb="0" eb="2">
      <t>チュウイ</t>
    </rPh>
    <rPh sb="2" eb="4">
      <t>ジコウ</t>
    </rPh>
    <phoneticPr fontId="2"/>
  </si>
  <si>
    <t>PisRealTestのTomcat を起動する。</t>
    <rPh sb="20" eb="22">
      <t>キドウ</t>
    </rPh>
    <phoneticPr fontId="2"/>
  </si>
  <si>
    <t>お客さま番号</t>
    <rPh sb="1" eb="2">
      <t>キャク</t>
    </rPh>
    <rPh sb="4" eb="6">
      <t>バンゴウ</t>
    </rPh>
    <phoneticPr fontId="2"/>
  </si>
  <si>
    <t>【項番】の途切れあ禁止</t>
    <rPh sb="1" eb="3">
      <t>コウバン</t>
    </rPh>
    <rPh sb="5" eb="7">
      <t>トギ</t>
    </rPh>
    <rPh sb="9" eb="11">
      <t>キンシ</t>
    </rPh>
    <phoneticPr fontId="2"/>
  </si>
  <si>
    <t>【項番】の途切れは禁止。</t>
    <rPh sb="1" eb="3">
      <t>コウバン</t>
    </rPh>
    <rPh sb="5" eb="7">
      <t>トギ</t>
    </rPh>
    <rPh sb="9" eb="11">
      <t>キンシ</t>
    </rPh>
    <phoneticPr fontId="2"/>
  </si>
  <si>
    <t>&lt;?xml version="1.0" encoding="UTF-8"?&gt;</t>
  </si>
  <si>
    <t>&lt;Server port="8005" shutdown="SHUTDOWN"&gt;</t>
  </si>
  <si>
    <t xml:space="preserve">  &lt;Listener className="org.apache.catalina.startup.VersionLoggerListener" /&gt;</t>
  </si>
  <si>
    <t xml:space="preserve">  &lt;Listener className="org.apache.catalina.core.AprLifecycleListener" SSLEngine="on" /&gt;</t>
  </si>
  <si>
    <t xml:space="preserve">  &lt;Listener className="org.apache.catalina.core.JreMemoryLeakPreventionListener" /&gt;</t>
  </si>
  <si>
    <t xml:space="preserve">  &lt;Listener className="org.apache.catalina.mbeans.GlobalResourcesLifecycleListener" /&gt;</t>
  </si>
  <si>
    <t xml:space="preserve">  &lt;Listener className="org.apache.catalina.core.ThreadLocalLeakPreventionListener" /&gt;</t>
  </si>
  <si>
    <t xml:space="preserve">  &lt;GlobalNamingResources&gt;</t>
  </si>
  <si>
    <t xml:space="preserve">    &lt;Resource</t>
  </si>
  <si>
    <t xml:space="preserve">     name="pisdb"</t>
  </si>
  <si>
    <t xml:space="preserve">     auth="Container"</t>
  </si>
  <si>
    <t xml:space="preserve">     type="javax.sql.DataSource"</t>
  </si>
  <si>
    <t xml:space="preserve">     driverClassName="org.postgresql.Driver"</t>
  </si>
  <si>
    <t xml:space="preserve">     maxTotal="100"</t>
  </si>
  <si>
    <t xml:space="preserve">     maxIdle="200"</t>
  </si>
  <si>
    <t xml:space="preserve">     maxWaitMillis="500"/&gt;</t>
  </si>
  <si>
    <t xml:space="preserve">     url="jdbc:postgresql://10.211.247.104:5432/ct1db"</t>
  </si>
  <si>
    <t xml:space="preserve">     username="piadmin"</t>
  </si>
  <si>
    <t xml:space="preserve">     password="piadmin"</t>
  </si>
  <si>
    <t xml:space="preserve">  &lt;/GlobalNamingResources&gt;</t>
  </si>
  <si>
    <t xml:space="preserve">  &lt;Service name="Catalina"&gt;</t>
  </si>
  <si>
    <t xml:space="preserve">    &lt;Connector port="8080" protocol="HTTP/1.1"</t>
  </si>
  <si>
    <t xml:space="preserve">               connectionTimeout="20000"</t>
  </si>
  <si>
    <t xml:space="preserve">               redirectPort="8443" /&gt;</t>
  </si>
  <si>
    <t xml:space="preserve">    &lt;Engine name="Catalina" defaultHost="localhost"&gt;</t>
  </si>
  <si>
    <t xml:space="preserve">      &lt;Host name="localhost"  appBase="webapps"</t>
  </si>
  <si>
    <t xml:space="preserve">            unpackWARs="true" autoDeploy="true"&gt;</t>
  </si>
  <si>
    <t xml:space="preserve">        &lt;Valve className="org.apache.catalina.valves.AccessLogValve" directory="logs"</t>
  </si>
  <si>
    <t xml:space="preserve">               prefix="localhost_access_log" suffix=".txt"</t>
  </si>
  <si>
    <t xml:space="preserve">               pattern="%h %l %u %t &amp;quot;%r&amp;quot; %s %b" /&gt;</t>
  </si>
  <si>
    <t xml:space="preserve">        &lt;Context path="/pointFile" docBase="C:/file" /&gt;</t>
  </si>
  <si>
    <t xml:space="preserve">        &lt;Context path="" docBase="C:/SpcPoint/GitLocal/git_hisol/prog/common/test/PisReal_Spring4Test/real" /&gt;</t>
  </si>
  <si>
    <t xml:space="preserve">      &lt;/Host&gt;</t>
  </si>
  <si>
    <t xml:space="preserve">    &lt;/Engine&gt;</t>
  </si>
  <si>
    <t xml:space="preserve">  &lt;/Service&gt;</t>
  </si>
  <si>
    <t>&lt;/Server&gt;</t>
  </si>
  <si>
    <t>実行可能のserver.xml</t>
    <rPh sb="0" eb="2">
      <t>ジッコウ</t>
    </rPh>
    <rPh sb="2" eb="4">
      <t>カノウ</t>
    </rPh>
    <phoneticPr fontId="2"/>
  </si>
  <si>
    <t>12345673</t>
    <phoneticPr fontId="2"/>
  </si>
  <si>
    <t>【ハッシュ値生成】シートにお客様番号の入力。</t>
    <rPh sb="14" eb="16">
      <t>キャクサマ</t>
    </rPh>
    <rPh sb="16" eb="18">
      <t>バンゴウ</t>
    </rPh>
    <rPh sb="19" eb="21">
      <t>ニュウリョク</t>
    </rPh>
    <phoneticPr fontId="2"/>
  </si>
  <si>
    <t>↓↓</t>
    <phoneticPr fontId="2"/>
  </si>
  <si>
    <t>実行対象の【要求可否】を設定する。</t>
    <rPh sb="0" eb="2">
      <t>ジッコウ</t>
    </rPh>
    <rPh sb="2" eb="4">
      <t>タイショウ</t>
    </rPh>
    <rPh sb="12" eb="14">
      <t>セッテイ</t>
    </rPh>
    <phoneticPr fontId="2"/>
  </si>
  <si>
    <t>【ハッシュ値生成】ボタンを押す。</t>
    <rPh sb="13" eb="14">
      <t>オ</t>
    </rPh>
    <phoneticPr fontId="2"/>
  </si>
  <si>
    <t>「実行対象」列に「○」を付けた行について、処理する。</t>
    <rPh sb="1" eb="3">
      <t>ジッコウ</t>
    </rPh>
    <rPh sb="6" eb="7">
      <t>レツ</t>
    </rPh>
    <rPh sb="12" eb="13">
      <t>ツ</t>
    </rPh>
    <rPh sb="15" eb="16">
      <t>ギョウ</t>
    </rPh>
    <rPh sb="21" eb="23">
      <t>ショリ</t>
    </rPh>
    <phoneticPr fontId="2"/>
  </si>
  <si>
    <r>
      <t>【</t>
    </r>
    <r>
      <rPr>
        <b/>
        <sz val="11"/>
        <rFont val="ＭＳ Ｐゴシック"/>
        <family val="3"/>
        <charset val="128"/>
      </rPr>
      <t>K</t>
    </r>
    <r>
      <rPr>
        <sz val="11"/>
        <rFont val="ＭＳ Ｐゴシック"/>
        <family val="3"/>
        <charset val="128"/>
      </rPr>
      <t>】行までの追加は禁止されています。</t>
    </r>
    <rPh sb="3" eb="4">
      <t>ギョウ</t>
    </rPh>
    <rPh sb="7" eb="9">
      <t>ツイカ</t>
    </rPh>
    <rPh sb="10" eb="12">
      <t>キンシ</t>
    </rPh>
    <phoneticPr fontId="2"/>
  </si>
  <si>
    <t>password</t>
  </si>
  <si>
    <t>パスワード</t>
    <phoneticPr fontId="2"/>
  </si>
  <si>
    <t>パスワード</t>
    <phoneticPr fontId="2"/>
  </si>
  <si>
    <t>12345678</t>
    <phoneticPr fontId="2"/>
  </si>
  <si>
    <t>kaiin_no=12345673&amp;password=12345678&amp;Password=0&amp;csvFlg=2&amp;csvPath=C:\\Users\\hisol\\Desktop&amp;csvCount=10&amp;pattermFlg=5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</si>
  <si>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&lt;RESPONSE&gt;&lt;RET_CODE&gt;000&lt;/RET_CODE&gt;&lt;ERR_DETAIL_CODE&gt;0000&lt;/ERR_DETAIL_CODE&gt;&lt;ERR_ITEM&gt;&lt;/ERR_ITEM&gt;&lt;TY_MBR_STS&gt;25D55AD283AA400AF464C76D713C07AD&lt;/TY_MBR_STS&gt;&lt;/RESPONSE&gt;</t>
  </si>
  <si>
    <t>25D55AD2</t>
    <phoneticPr fontId="2"/>
  </si>
  <si>
    <t>kaiin_no=12345674&amp;password=12345679&amp;Password=0&amp;csvFlg=2&amp;csvPath=C:\\Users\\hisol\\Desktop&amp;csvCount=10&amp;pattermFlg=5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</si>
  <si>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&lt;RESPONSE&gt;&lt;RET_CODE&gt;000&lt;/RET_CODE&gt;&lt;ERR_DETAIL_CODE&gt;0000&lt;/ERR_DETAIL_CODE&gt;&lt;ERR_ITEM&gt;&lt;/ERR_ITEM&gt;&lt;TY_MBR_STS&gt;DEFAC44447B57F152D14F30CEA7A73CB&lt;/TY_MBR_STS&gt;&lt;/RESPONSE&gt;</t>
  </si>
  <si>
    <t>kaiin_no=12345675&amp;password=12345680&amp;Password=0&amp;csvFlg=2&amp;csvPath=C:\\Users\\hisol\\Desktop&amp;csvCount=10&amp;pattermFlg=5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</si>
  <si>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&lt;RESPONSE&gt;&lt;RET_CODE&gt;000&lt;/RET_CODE&gt;&lt;ERR_DETAIL_CODE&gt;0000&lt;/ERR_DETAIL_CODE&gt;&lt;ERR_ITEM&gt;&lt;/ERR_ITEM&gt;&lt;TY_MBR_STS&gt;2661B5362E4EED2C62D90080B91B329E&lt;/TY_MBR_STS&gt;&lt;/RESPONSE&gt;</t>
  </si>
  <si>
    <t>kaiin_no=12345676&amp;password=12345681&amp;Password=0&amp;csvFlg=2&amp;csvPath=C:\\Users\\hisol\\Desktop&amp;csvCount=10&amp;pattermFlg=5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</si>
  <si>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&lt;RESPONSE&gt;&lt;RET_CODE&gt;000&lt;/RET_CODE&gt;&lt;ERR_DETAIL_CODE&gt;0000&lt;/ERR_DETAIL_CODE&gt;&lt;ERR_ITEM&gt;&lt;/ERR_ITEM&gt;&lt;TY_MBR_STS&gt;1EE0A8CE9CD7E6971096AC9159260BF3&lt;/TY_MBR_STS&gt;&lt;/RESPONSE&gt;</t>
  </si>
  <si>
    <t>kaiin_no=12345677&amp;password=12345682&amp;Password=0&amp;csvFlg=2&amp;csvPath=C:\\Users\\hisol\\Desktop&amp;csvCount=10&amp;pattermFlg=5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</si>
  <si>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&lt;RESPONSE&gt;&lt;RET_CODE&gt;000&lt;/RET_CODE&gt;&lt;ERR_DETAIL_CODE&gt;0000&lt;/ERR_DETAIL_CODE&gt;&lt;ERR_ITEM&gt;&lt;/ERR_ITEM&gt;&lt;TY_MBR_STS&gt;0D03D82B38E113235438D28869EE5E68&lt;/TY_MBR_STS&gt;&lt;/RESPONSE&gt;</t>
  </si>
  <si>
    <t>kaiin_no=12345678&amp;password=12345683&amp;Password=0&amp;csvFlg=2&amp;csvPath=C:\\Users\\hisol\\Desktop&amp;csvCount=10&amp;pattermFlg=5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</si>
  <si>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&lt;RESPONSE&gt;&lt;RET_CODE&gt;000&lt;/RET_CODE&gt;&lt;ERR_DETAIL_CODE&gt;0000&lt;/ERR_DETAIL_CODE&gt;&lt;ERR_ITEM&gt;&lt;/ERR_ITEM&gt;&lt;TY_MBR_STS&gt;B95A0A3ECE23CF05504F534B393CC3DD&lt;/TY_MBR_STS&gt;&lt;/RESPONSE&gt;</t>
  </si>
  <si>
    <t>kaiin_no=12345679&amp;password=12345684&amp;Password=0&amp;csvFlg=2&amp;csvPath=C:\\Users\\hisol\\Desktop&amp;csvCount=10&amp;pattermFlg=5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</si>
  <si>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&lt;RESPONSE&gt;&lt;RET_CODE&gt;000&lt;/RET_CODE&gt;&lt;ERR_DETAIL_CODE&gt;0000&lt;/ERR_DETAIL_CODE&gt;&lt;ERR_ITEM&gt;&lt;/ERR_ITEM&gt;&lt;TY_MBR_STS&gt;E56F4A4ABA940CBCB698827842627E7E&lt;/TY_MBR_STS&gt;&lt;/RESPONSE&gt;</t>
  </si>
  <si>
    <t>kaiin_no=12345680&amp;password=12345685&amp;Password=0&amp;csvFlg=2&amp;csvPath=C:\\Users\\hisol\\Desktop&amp;csvCount=10&amp;pattermFlg=5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</si>
  <si>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&lt;RESPONSE&gt;&lt;RET_CODE&gt;000&lt;/RET_CODE&gt;&lt;ERR_DETAIL_CODE&gt;0000&lt;/ERR_DETAIL_CODE&gt;&lt;ERR_ITEM&gt;&lt;/ERR_ITEM&gt;&lt;TY_MBR_STS&gt;EE8514B13CC97F5FD93FA9527770CEA9&lt;/TY_MBR_STS&gt;&lt;/RESPONSE&gt;</t>
  </si>
  <si>
    <t>kaiin_no=12345681&amp;password=12345686&amp;Password=0&amp;csvFlg=2&amp;csvPath=C:\\Users\\hisol\\Desktop&amp;csvCount=10&amp;pattermFlg=5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</si>
  <si>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&lt;RESPONSE&gt;&lt;RET_CODE&gt;000&lt;/RET_CODE&gt;&lt;ERR_DETAIL_CODE&gt;0000&lt;/ERR_DETAIL_CODE&gt;&lt;ERR_ITEM&gt;&lt;/ERR_ITEM&gt;&lt;TY_MBR_STS&gt;C3F2FB0E3007B13D105252477584806E&lt;/TY_MBR_STS&gt;&lt;/RESPONSE&gt;</t>
  </si>
  <si>
    <t>kaiin_no=12345682&amp;password=12345687&amp;Password=0&amp;csvFlg=2&amp;csvPath=C:\\Users\\hisol\\Desktop&amp;csvCount=10&amp;pattermFlg=5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</si>
  <si>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&lt;RESPONSE&gt;&lt;RET_CODE&gt;000&lt;/RET_CODE&gt;&lt;ERR_DETAIL_CODE&gt;0000&lt;/ERR_DETAIL_CODE&gt;&lt;ERR_ITEM&gt;&lt;/ERR_ITEM&gt;&lt;TY_MBR_STS&gt;95D47BE0D380A7CD3BB5BBE78E8BED49&lt;/TY_MBR_STS&gt;&lt;/RESPONSE&gt;</t>
  </si>
  <si>
    <t>kaiin_no=12345683&amp;password=12345688&amp;Password=0&amp;csvFlg=2&amp;csvPath=C:\\Users\\hisol\\Desktop&amp;csvCount=10&amp;pattermFlg=5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</si>
  <si>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&lt;RESPONSE&gt;&lt;RET_CODE&gt;000&lt;/RET_CODE&gt;&lt;ERR_DETAIL_CODE&gt;0000&lt;/ERR_DETAIL_CODE&gt;&lt;ERR_ITEM&gt;&lt;/ERR_ITEM&gt;&lt;TY_MBR_STS&gt;C8DB0979BD866D9BB822CE3AE7C7DA33&lt;/TY_MBR_STS&gt;&lt;/RESPONSE&gt;</t>
  </si>
  <si>
    <t>kaiin_no=12345684&amp;password=12345689&amp;Password=0&amp;csvFlg=2&amp;csvPath=C:\\Users\\hisol\\Desktop&amp;csvCount=10&amp;pattermFlg=5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</si>
  <si>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&lt;RESPONSE&gt;&lt;RET_CODE&gt;000&lt;/RET_CODE&gt;&lt;ERR_DETAIL_CODE&gt;0000&lt;/ERR_DETAIL_CODE&gt;&lt;ERR_ITEM&gt;&lt;/ERR_ITEM&gt;&lt;TY_MBR_STS&gt;6C8E7923F116A85DD3ED7FAFD7353B5A&lt;/TY_MBR_STS&gt;&lt;/RESPONSE&gt;</t>
  </si>
  <si>
    <t>kaiin_no=12345685&amp;password=12345690&amp;Password=0&amp;csvFlg=2&amp;csvPath=C:\\Users\\hisol\\Desktop&amp;csvCount=10&amp;pattermFlg=5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</si>
  <si>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&lt;RESPONSE&gt;&lt;RET_CODE&gt;000&lt;/RET_CODE&gt;&lt;ERR_DETAIL_CODE&gt;0000&lt;/ERR_DETAIL_CODE&gt;&lt;ERR_ITEM&gt;&lt;/ERR_ITEM&gt;&lt;TY_MBR_STS&gt;5D01CA6F0CAD42194B6F4EA7D510588B&lt;/TY_MBR_STS&gt;&lt;/RESPONSE&gt;</t>
  </si>
  <si>
    <t>kaiin_no=12345686&amp;password=12345691&amp;Password=0&amp;csvFlg=2&amp;csvPath=C:\\Users\\hisol\\Desktop&amp;csvCount=10&amp;pattermFlg=5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</si>
  <si>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&lt;RESPONSE&gt;&lt;RET_CODE&gt;000&lt;/RET_CODE&gt;&lt;ERR_DETAIL_CODE&gt;0000&lt;/ERR_DETAIL_CODE&gt;&lt;ERR_ITEM&gt;&lt;/ERR_ITEM&gt;&lt;TY_MBR_STS&gt;F7EEDB5AE6A1D26A5CC71DBCBC4FAB69&lt;/TY_MBR_STS&gt;&lt;/RESPONSE&gt;</t>
  </si>
  <si>
    <t>kaiin_no=12345687&amp;password=12345692&amp;Password=0&amp;csvFlg=2&amp;csvPath=C:\\Users\\hisol\\Desktop&amp;csvCount=10&amp;pattermFlg=5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</si>
  <si>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&lt;RESPONSE&gt;&lt;RET_CODE&gt;000&lt;/RET_CODE&gt;&lt;ERR_DETAIL_CODE&gt;0000&lt;/ERR_DETAIL_CODE&gt;&lt;ERR_ITEM&gt;&lt;/ERR_ITEM&gt;&lt;TY_MBR_STS&gt;3820B6ECF986508B369BBA8F1C1A9400&lt;/TY_MBR_STS&gt;&lt;/RESPONSE&gt;</t>
  </si>
  <si>
    <t>kaiin_no=12345688&amp;password=12345693&amp;Password=0&amp;csvFlg=2&amp;csvPath=C:\\Users\\hisol\\Desktop&amp;csvCount=10&amp;pattermFlg=5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</si>
  <si>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&lt;RESPONSE&gt;&lt;RET_CODE&gt;000&lt;/RET_CODE&gt;&lt;ERR_DETAIL_CODE&gt;0000&lt;/ERR_DETAIL_CODE&gt;&lt;ERR_ITEM&gt;&lt;/ERR_ITEM&gt;&lt;TY_MBR_STS&gt;4C2D04FEAB2850173FFA93529A4B0AE5&lt;/TY_MBR_STS&gt;&lt;/RESPONSE&gt;</t>
  </si>
  <si>
    <t>kaiin_no=12345689&amp;password=12345694&amp;Password=0&amp;csvFlg=2&amp;csvPath=C:\\Users\\hisol\\Desktop&amp;csvCount=10&amp;pattermFlg=5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</si>
  <si>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&lt;RESPONSE&gt;&lt;RET_CODE&gt;000&lt;/RET_CODE&gt;&lt;ERR_DETAIL_CODE&gt;0000&lt;/ERR_DETAIL_CODE&gt;&lt;ERR_ITEM&gt;&lt;/ERR_ITEM&gt;&lt;TY_MBR_STS&gt;72C7C87E21639BCA2DE4F2DCBDD63328&lt;/TY_MBR_STS&gt;&lt;/RESPONSE&gt;</t>
  </si>
  <si>
    <t>kaiin_no=12345690&amp;password=12345695&amp;Password=0&amp;csvFlg=2&amp;csvPath=C:\\Users\\hisol\\Desktop&amp;csvCount=10&amp;pattermFlg=5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</si>
  <si>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&lt;RESPONSE&gt;&lt;RET_CODE&gt;000&lt;/RET_CODE&gt;&lt;ERR_DETAIL_CODE&gt;0000&lt;/ERR_DETAIL_CODE&gt;&lt;ERR_ITEM&gt;&lt;/ERR_ITEM&gt;&lt;TY_MBR_STS&gt;9D557124196302EEA8F49CD6FF2B08EA&lt;/TY_MBR_STS&gt;&lt;/RESPONSE&gt;</t>
  </si>
  <si>
    <t>kaiin_no=12345691&amp;password=12345696&amp;Password=0&amp;csvFlg=2&amp;csvPath=C:\\Users\\hisol\\Desktop&amp;csvCount=10&amp;pattermFlg=5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</si>
  <si>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&lt;RESPONSE&gt;&lt;RET_CODE&gt;000&lt;/RET_CODE&gt;&lt;ERR_DETAIL_CODE&gt;0000&lt;/ERR_DETAIL_CODE&gt;&lt;ERR_ITEM&gt;&lt;/ERR_ITEM&gt;&lt;TY_MBR_STS&gt;4288BBE19C0BDDCB4DD3E079373278B4&lt;/TY_MBR_STS&gt;&lt;/RESPONSE&gt;</t>
  </si>
  <si>
    <t>kaiin_no=12345692&amp;password=12345697&amp;Password=0&amp;csvFlg=2&amp;csvPath=C:\\Users\\hisol\\Desktop&amp;csvCount=10&amp;pattermFlg=5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</si>
  <si>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&lt;RESPONSE&gt;&lt;RET_CODE&gt;000&lt;/RET_CODE&gt;&lt;ERR_DETAIL_CODE&gt;0000&lt;/ERR_DETAIL_CODE&gt;&lt;ERR_ITEM&gt;&lt;/ERR_ITEM&gt;&lt;TY_MBR_STS&gt;78172858EAC0ED8C174C9F08E2021E31&lt;/TY_MBR_STS&gt;&lt;/RESPONSE&gt;</t>
  </si>
  <si>
    <t>kaiin_no=12345693&amp;password=12345698&amp;Password=0&amp;csvFlg=2&amp;csvPath=C:\\Users\\hisol\\Desktop&amp;csvCount=10&amp;pattermFlg=5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</si>
  <si>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&lt;RESPONSE&gt;&lt;RET_CODE&gt;000&lt;/RET_CODE&gt;&lt;ERR_DETAIL_CODE&gt;0000&lt;/ERR_DETAIL_CODE&gt;&lt;ERR_ITEM&gt;&lt;/ERR_ITEM&gt;&lt;TY_MBR_STS&gt;C21DD89D926C7FBA6F4E60E2BAF74963&lt;/TY_MBR_STS&gt;&lt;/RESPONSE&gt;</t>
  </si>
  <si>
    <t>kaiin_no=12345694&amp;password=12345699&amp;Password=0&amp;csvFlg=2&amp;csvPath=C:\\Users\\hisol\\Desktop&amp;csvCount=10&amp;pattermFlg=5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</si>
  <si>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&lt;RESPONSE&gt;&lt;RET_CODE&gt;000&lt;/RET_CODE&gt;&lt;ERR_DETAIL_CODE&gt;0000&lt;/ERR_DETAIL_CODE&gt;&lt;ERR_ITEM&gt;&lt;/ERR_ITEM&gt;&lt;TY_MBR_STS&gt;64974CE4B30F7099E6C84DDEB579FA2C&lt;/TY_MBR_STS&gt;&lt;/RESPONSE&gt;</t>
  </si>
  <si>
    <t>kaiin_no=12345695&amp;password=12345700&amp;Password=0&amp;csvFlg=2&amp;csvPath=C:\\Users\\hisol\\Desktop&amp;csvCount=10&amp;pattermFlg=5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</si>
  <si>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&lt;RESPONSE&gt;&lt;RET_CODE&gt;000&lt;/RET_CODE&gt;&lt;ERR_DETAIL_CODE&gt;0000&lt;/ERR_DETAIL_CODE&gt;&lt;ERR_ITEM&gt;&lt;/ERR_ITEM&gt;&lt;TY_MBR_STS&gt;3EEB2721B68E94CD3D660E352DF1E798&lt;/TY_MBR_STS&gt;&lt;/RESPONSE&gt;</t>
  </si>
  <si>
    <t>kaiin_no=12345696&amp;password=12345701&amp;Password=0&amp;csvFlg=2&amp;csvPath=C:\\Users\\hisol\\Desktop&amp;csvCount=10&amp;pattermFlg=5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</si>
  <si>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&lt;RESPONSE&gt;&lt;RET_CODE&gt;000&lt;/RET_CODE&gt;&lt;ERR_DETAIL_CODE&gt;0000&lt;/ERR_DETAIL_CODE&gt;&lt;ERR_ITEM&gt;&lt;/ERR_ITEM&gt;&lt;TY_MBR_STS&gt;741CF292EE9C85249C05B6A9DD5A3E18&lt;/TY_MBR_STS&gt;&lt;/RESPONSE&gt;</t>
  </si>
  <si>
    <t>kaiin_no=12345697&amp;password=12345702&amp;Password=0&amp;csvFlg=2&amp;csvPath=C:\\Users\\hisol\\Desktop&amp;csvCount=10&amp;pattermFlg=5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</si>
  <si>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&lt;RESPONSE&gt;&lt;RET_CODE&gt;000&lt;/RET_CODE&gt;&lt;ERR_DETAIL_CODE&gt;0000&lt;/ERR_DETAIL_CODE&gt;&lt;ERR_ITEM&gt;&lt;/ERR_ITEM&gt;&lt;TY_MBR_STS&gt;EA404C7555CDCD307018F1CE45B34D10&lt;/TY_MBR_STS&gt;&lt;/RESPONSE&gt;</t>
  </si>
  <si>
    <t>kaiin_no=12345691&amp;password=12345703&amp;Password=0&amp;csvFlg=2&amp;csvPath=C:\\Users\\hisol\\Desktop&amp;csvCount=10&amp;pattermFlg=5</t>
  </si>
  <si>
    <t>&lt;?xml version="1.0" encoding="UTF-8"?&gt;
&lt;RESPONSE&gt;&lt;RET_CODE&gt;000&lt;/RET_CODE&gt;&lt;ERR_DETAIL_CODE&gt;0000&lt;/ERR_DETAIL_CODE&gt;&lt;ERR_ITEM&gt;&lt;/ERR_ITEM&gt;&lt;TY_MBR_STS&gt;22D3F86E4F4803A4C48411D396C8498C&lt;/TY_MBR_STS&gt;&lt;/RESPONSE&gt;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</si>
</sst>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mmddhhmmss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10"/>
      <color indexed="9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indexed="53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7" fillId="0" borderId="0">
      <alignment vertical="center"/>
    </xf>
    <xf numFmtId="0" fontId="4" fillId="0" borderId="0"/>
    <xf numFmtId="0" fontId="1" fillId="0" borderId="0"/>
    <xf numFmtId="0" fontId="1" fillId="0" borderId="0">
      <alignment vertical="center"/>
    </xf>
  </cellStyleXfs>
  <cellXfs count="12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2" applyNumberFormat="1" applyFont="1" applyFill="1" applyBorder="1" applyAlignment="1">
      <alignment horizontal="left" vertical="center" shrinkToFit="1"/>
    </xf>
    <xf numFmtId="4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49" fontId="1" fillId="0" borderId="0" xfId="2" applyNumberFormat="1" applyFont="1" applyFill="1" applyBorder="1" applyAlignment="1">
      <alignment horizontal="left" vertical="center" shrinkToFi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5" fillId="0" borderId="0" xfId="0" applyFont="1" applyAlignment="1">
      <alignment vertical="top" shrinkToFit="1"/>
    </xf>
    <xf numFmtId="176" fontId="1" fillId="0" borderId="1" xfId="2" applyNumberFormat="1" applyFont="1" applyFill="1" applyBorder="1" applyAlignment="1">
      <alignment horizontal="left" vertical="center" shrinkToFit="1"/>
    </xf>
    <xf numFmtId="0" fontId="5" fillId="4" borderId="1" xfId="0" applyFont="1" applyFill="1" applyBorder="1" applyAlignment="1">
      <alignment vertical="top" shrinkToFit="1"/>
    </xf>
    <xf numFmtId="49" fontId="5" fillId="5" borderId="1" xfId="0" applyNumberFormat="1" applyFont="1" applyFill="1" applyBorder="1" applyAlignment="1">
      <alignment vertical="top" shrinkToFit="1"/>
    </xf>
    <xf numFmtId="0" fontId="5" fillId="6" borderId="1" xfId="0" applyFont="1" applyFill="1" applyBorder="1" applyAlignment="1">
      <alignment horizontal="center" vertical="top" shrinkToFit="1"/>
    </xf>
    <xf numFmtId="0" fontId="5" fillId="6" borderId="1" xfId="0" applyNumberFormat="1" applyFont="1" applyFill="1" applyBorder="1" applyAlignment="1">
      <alignment vertical="top" shrinkToFit="1"/>
    </xf>
    <xf numFmtId="0" fontId="5" fillId="0" borderId="0" xfId="0" applyFont="1" applyAlignment="1">
      <alignment vertical="top"/>
    </xf>
    <xf numFmtId="0" fontId="5" fillId="0" borderId="0" xfId="0" applyFont="1" applyBorder="1" applyAlignment="1">
      <alignment vertical="top" shrinkToFit="1"/>
    </xf>
    <xf numFmtId="49" fontId="5" fillId="0" borderId="0" xfId="0" applyNumberFormat="1" applyFont="1" applyFill="1" applyBorder="1" applyAlignment="1">
      <alignment vertical="top" shrinkToFit="1"/>
    </xf>
    <xf numFmtId="0" fontId="5" fillId="0" borderId="0" xfId="0" applyFont="1" applyFill="1" applyBorder="1" applyAlignment="1">
      <alignment vertical="top" shrinkToFit="1"/>
    </xf>
    <xf numFmtId="0" fontId="5" fillId="0" borderId="3" xfId="0" applyFont="1" applyBorder="1" applyAlignment="1">
      <alignment horizontal="center" vertical="top" shrinkToFit="1"/>
    </xf>
    <xf numFmtId="0" fontId="8" fillId="0" borderId="0" xfId="0" applyFont="1" applyAlignment="1">
      <alignment vertical="top"/>
    </xf>
    <xf numFmtId="0" fontId="5" fillId="0" borderId="0" xfId="0" applyFon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7" borderId="1" xfId="0" applyFont="1" applyFill="1" applyBorder="1" applyAlignment="1">
      <alignment vertical="top" shrinkToFit="1"/>
    </xf>
    <xf numFmtId="0" fontId="6" fillId="0" borderId="0" xfId="0" applyFont="1">
      <alignment vertical="center"/>
    </xf>
    <xf numFmtId="0" fontId="5" fillId="7" borderId="1" xfId="0" applyFont="1" applyFill="1" applyBorder="1" applyAlignment="1">
      <alignment vertical="top" shrinkToFit="1"/>
    </xf>
    <xf numFmtId="0" fontId="5" fillId="3" borderId="4" xfId="0" applyFont="1" applyFill="1" applyBorder="1" applyAlignment="1">
      <alignment vertical="top" shrinkToFit="1"/>
    </xf>
    <xf numFmtId="0" fontId="5" fillId="8" borderId="1" xfId="0" applyFont="1" applyFill="1" applyBorder="1" applyAlignment="1">
      <alignment vertical="top" shrinkToFit="1"/>
    </xf>
    <xf numFmtId="49" fontId="0" fillId="0" borderId="1" xfId="0" applyNumberFormat="1" applyBorder="1">
      <alignment vertical="center"/>
    </xf>
    <xf numFmtId="0" fontId="5" fillId="0" borderId="0" xfId="0" quotePrefix="1" applyFont="1" applyAlignment="1">
      <alignment vertical="top" shrinkToFit="1"/>
    </xf>
    <xf numFmtId="0" fontId="0" fillId="0" borderId="0" xfId="0" applyNumberFormat="1" applyAlignment="1">
      <alignment vertical="center"/>
    </xf>
    <xf numFmtId="0" fontId="5" fillId="7" borderId="1" xfId="0" applyNumberFormat="1" applyFont="1" applyFill="1" applyBorder="1" applyAlignment="1">
      <alignment vertical="center" shrinkToFit="1"/>
    </xf>
    <xf numFmtId="0" fontId="0" fillId="0" borderId="1" xfId="0" applyNumberFormat="1" applyBorder="1" applyAlignment="1">
      <alignment vertical="center"/>
    </xf>
    <xf numFmtId="0" fontId="0" fillId="0" borderId="1" xfId="0" quotePrefix="1" applyNumberFormat="1" applyBorder="1" applyAlignment="1">
      <alignment vertical="center"/>
    </xf>
    <xf numFmtId="0" fontId="5" fillId="0" borderId="0" xfId="0" quotePrefix="1" applyNumberFormat="1" applyFont="1" applyAlignment="1">
      <alignment vertical="top" shrinkToFit="1"/>
    </xf>
    <xf numFmtId="0" fontId="5" fillId="3" borderId="4" xfId="0" quotePrefix="1" applyFont="1" applyFill="1" applyBorder="1" applyAlignment="1">
      <alignment vertical="top" shrinkToFit="1"/>
    </xf>
    <xf numFmtId="0" fontId="5" fillId="9" borderId="1" xfId="0" applyFont="1" applyFill="1" applyBorder="1">
      <alignment vertical="center"/>
    </xf>
    <xf numFmtId="0" fontId="5" fillId="5" borderId="1" xfId="0" applyNumberFormat="1" applyFont="1" applyFill="1" applyBorder="1" applyAlignment="1">
      <alignment vertical="top" shrinkToFit="1"/>
    </xf>
    <xf numFmtId="0" fontId="5" fillId="7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Alignment="1">
      <alignment vertical="top" shrinkToFit="1"/>
    </xf>
    <xf numFmtId="0" fontId="5" fillId="7" borderId="2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vertical="top" shrinkToFit="1"/>
    </xf>
    <xf numFmtId="49" fontId="5" fillId="0" borderId="1" xfId="0" applyNumberFormat="1" applyFont="1" applyBorder="1" applyAlignment="1">
      <alignment vertical="top" shrinkToFit="1"/>
    </xf>
    <xf numFmtId="49" fontId="1" fillId="0" borderId="0" xfId="3" applyNumberFormat="1"/>
    <xf numFmtId="49" fontId="1" fillId="0" borderId="0" xfId="3" applyNumberFormat="1" applyAlignment="1">
      <alignment wrapText="1"/>
    </xf>
    <xf numFmtId="49" fontId="10" fillId="10" borderId="13" xfId="3" applyNumberFormat="1" applyFont="1" applyFill="1" applyBorder="1" applyAlignment="1">
      <alignment horizontal="center" vertical="center" shrinkToFit="1"/>
    </xf>
    <xf numFmtId="49" fontId="10" fillId="10" borderId="14" xfId="3" applyNumberFormat="1" applyFont="1" applyFill="1" applyBorder="1" applyAlignment="1">
      <alignment horizontal="center" vertical="center" wrapText="1" shrinkToFit="1"/>
    </xf>
    <xf numFmtId="49" fontId="10" fillId="10" borderId="15" xfId="3" applyNumberFormat="1" applyFont="1" applyFill="1" applyBorder="1" applyAlignment="1">
      <alignment horizontal="center" vertical="center" wrapText="1" shrinkToFit="1"/>
    </xf>
    <xf numFmtId="49" fontId="10" fillId="10" borderId="15" xfId="3" applyNumberFormat="1" applyFont="1" applyFill="1" applyBorder="1" applyAlignment="1">
      <alignment horizontal="center" vertical="center" shrinkToFit="1"/>
    </xf>
    <xf numFmtId="49" fontId="10" fillId="10" borderId="14" xfId="3" applyNumberFormat="1" applyFont="1" applyFill="1" applyBorder="1" applyAlignment="1">
      <alignment horizontal="center" vertical="center" wrapText="1"/>
    </xf>
    <xf numFmtId="49" fontId="10" fillId="10" borderId="16" xfId="3" applyNumberFormat="1" applyFont="1" applyFill="1" applyBorder="1" applyAlignment="1">
      <alignment horizontal="center" vertical="center" shrinkToFit="1"/>
    </xf>
    <xf numFmtId="49" fontId="1" fillId="0" borderId="0" xfId="3" applyNumberFormat="1" applyAlignment="1">
      <alignment vertical="center"/>
    </xf>
    <xf numFmtId="14" fontId="11" fillId="0" borderId="17" xfId="3" applyNumberFormat="1" applyFont="1" applyBorder="1" applyAlignment="1">
      <alignment horizontal="left" vertical="top"/>
    </xf>
    <xf numFmtId="49" fontId="11" fillId="0" borderId="18" xfId="3" applyNumberFormat="1" applyFont="1" applyBorder="1" applyAlignment="1">
      <alignment vertical="top"/>
    </xf>
    <xf numFmtId="49" fontId="11" fillId="11" borderId="19" xfId="3" applyNumberFormat="1" applyFont="1" applyFill="1" applyBorder="1" applyAlignment="1">
      <alignment vertical="top"/>
    </xf>
    <xf numFmtId="0" fontId="11" fillId="11" borderId="20" xfId="4" applyFont="1" applyFill="1" applyBorder="1">
      <alignment vertical="center"/>
    </xf>
    <xf numFmtId="49" fontId="11" fillId="0" borderId="18" xfId="3" applyNumberFormat="1" applyFont="1" applyBorder="1" applyAlignment="1">
      <alignment vertical="top" wrapText="1"/>
    </xf>
    <xf numFmtId="49" fontId="11" fillId="0" borderId="21" xfId="3" applyNumberFormat="1" applyFont="1" applyBorder="1" applyAlignment="1">
      <alignment vertical="top" wrapText="1"/>
    </xf>
    <xf numFmtId="49" fontId="11" fillId="0" borderId="22" xfId="3" applyNumberFormat="1" applyFont="1" applyBorder="1" applyAlignment="1">
      <alignment vertical="top" wrapText="1"/>
    </xf>
    <xf numFmtId="49" fontId="12" fillId="0" borderId="23" xfId="3" applyNumberFormat="1" applyFont="1" applyBorder="1" applyAlignment="1">
      <alignment vertical="top"/>
    </xf>
    <xf numFmtId="49" fontId="12" fillId="0" borderId="24" xfId="3" applyNumberFormat="1" applyFont="1" applyBorder="1" applyAlignment="1">
      <alignment vertical="top"/>
    </xf>
    <xf numFmtId="49" fontId="12" fillId="11" borderId="24" xfId="3" applyNumberFormat="1" applyFont="1" applyFill="1" applyBorder="1" applyAlignment="1">
      <alignment vertical="top"/>
    </xf>
    <xf numFmtId="0" fontId="12" fillId="11" borderId="24" xfId="4" applyFont="1" applyFill="1" applyBorder="1" applyAlignment="1">
      <alignment vertical="top"/>
    </xf>
    <xf numFmtId="49" fontId="12" fillId="0" borderId="24" xfId="3" applyNumberFormat="1" applyFont="1" applyBorder="1" applyAlignment="1">
      <alignment vertical="top" wrapText="1"/>
    </xf>
    <xf numFmtId="49" fontId="12" fillId="0" borderId="25" xfId="3" applyNumberFormat="1" applyFont="1" applyBorder="1" applyAlignment="1">
      <alignment vertical="top" wrapText="1"/>
    </xf>
    <xf numFmtId="49" fontId="13" fillId="0" borderId="0" xfId="3" applyNumberFormat="1" applyFont="1"/>
    <xf numFmtId="49" fontId="11" fillId="0" borderId="23" xfId="3" applyNumberFormat="1" applyFont="1" applyBorder="1" applyAlignment="1">
      <alignment vertical="top"/>
    </xf>
    <xf numFmtId="49" fontId="11" fillId="0" borderId="24" xfId="3" applyNumberFormat="1" applyFont="1" applyBorder="1" applyAlignment="1">
      <alignment vertical="top"/>
    </xf>
    <xf numFmtId="49" fontId="11" fillId="11" borderId="24" xfId="3" applyNumberFormat="1" applyFont="1" applyFill="1" applyBorder="1" applyAlignment="1">
      <alignment vertical="top"/>
    </xf>
    <xf numFmtId="0" fontId="11" fillId="11" borderId="24" xfId="4" applyFont="1" applyFill="1" applyBorder="1">
      <alignment vertical="center"/>
    </xf>
    <xf numFmtId="49" fontId="11" fillId="0" borderId="24" xfId="3" applyNumberFormat="1" applyFont="1" applyBorder="1" applyAlignment="1">
      <alignment vertical="top" wrapText="1"/>
    </xf>
    <xf numFmtId="49" fontId="11" fillId="0" borderId="25" xfId="3" applyNumberFormat="1" applyFont="1" applyBorder="1" applyAlignment="1">
      <alignment vertical="top" wrapText="1"/>
    </xf>
    <xf numFmtId="0" fontId="11" fillId="11" borderId="26" xfId="4" applyFont="1" applyFill="1" applyBorder="1" applyAlignment="1">
      <alignment vertical="top" wrapText="1"/>
    </xf>
    <xf numFmtId="49" fontId="11" fillId="0" borderId="25" xfId="3" applyNumberFormat="1" applyFont="1" applyBorder="1" applyAlignment="1">
      <alignment horizontal="left" vertical="top" wrapText="1"/>
    </xf>
    <xf numFmtId="49" fontId="14" fillId="0" borderId="23" xfId="3" applyNumberFormat="1" applyFont="1" applyBorder="1" applyAlignment="1">
      <alignment vertical="top"/>
    </xf>
    <xf numFmtId="49" fontId="14" fillId="0" borderId="24" xfId="3" applyNumberFormat="1" applyFont="1" applyBorder="1" applyAlignment="1">
      <alignment vertical="top"/>
    </xf>
    <xf numFmtId="49" fontId="14" fillId="0" borderId="27" xfId="3" applyNumberFormat="1" applyFont="1" applyBorder="1" applyAlignment="1">
      <alignment vertical="top"/>
    </xf>
    <xf numFmtId="49" fontId="14" fillId="0" borderId="27" xfId="3" applyNumberFormat="1" applyFont="1" applyBorder="1" applyAlignment="1">
      <alignment vertical="top" wrapText="1"/>
    </xf>
    <xf numFmtId="49" fontId="14" fillId="0" borderId="24" xfId="3" applyNumberFormat="1" applyFont="1" applyBorder="1" applyAlignment="1">
      <alignment vertical="top" wrapText="1"/>
    </xf>
    <xf numFmtId="49" fontId="14" fillId="0" borderId="18" xfId="3" applyNumberFormat="1" applyFont="1" applyBorder="1" applyAlignment="1">
      <alignment vertical="top" wrapText="1"/>
    </xf>
    <xf numFmtId="49" fontId="14" fillId="0" borderId="25" xfId="3" applyNumberFormat="1" applyFont="1" applyBorder="1" applyAlignment="1">
      <alignment vertical="top" wrapText="1"/>
    </xf>
    <xf numFmtId="49" fontId="11" fillId="0" borderId="27" xfId="3" applyNumberFormat="1" applyFont="1" applyBorder="1" applyAlignment="1">
      <alignment vertical="top"/>
    </xf>
    <xf numFmtId="49" fontId="11" fillId="0" borderId="27" xfId="3" applyNumberFormat="1" applyFont="1" applyBorder="1" applyAlignment="1">
      <alignment vertical="top" wrapText="1"/>
    </xf>
    <xf numFmtId="49" fontId="11" fillId="0" borderId="28" xfId="3" applyNumberFormat="1" applyFont="1" applyBorder="1" applyAlignment="1">
      <alignment vertical="top"/>
    </xf>
    <xf numFmtId="49" fontId="11" fillId="0" borderId="29" xfId="3" applyNumberFormat="1" applyFont="1" applyBorder="1" applyAlignment="1">
      <alignment vertical="top"/>
    </xf>
    <xf numFmtId="49" fontId="11" fillId="0" borderId="30" xfId="3" applyNumberFormat="1" applyFont="1" applyBorder="1" applyAlignment="1">
      <alignment vertical="top"/>
    </xf>
    <xf numFmtId="49" fontId="11" fillId="0" borderId="30" xfId="3" applyNumberFormat="1" applyFont="1" applyBorder="1" applyAlignment="1">
      <alignment vertical="top" wrapText="1"/>
    </xf>
    <xf numFmtId="49" fontId="11" fillId="0" borderId="29" xfId="3" applyNumberFormat="1" applyFont="1" applyBorder="1" applyAlignment="1">
      <alignment vertical="top" wrapText="1"/>
    </xf>
    <xf numFmtId="49" fontId="11" fillId="0" borderId="31" xfId="3" applyNumberFormat="1" applyFont="1" applyBorder="1" applyAlignment="1">
      <alignment vertical="top" wrapText="1"/>
    </xf>
    <xf numFmtId="0" fontId="5" fillId="0" borderId="1" xfId="0" applyFont="1" applyBorder="1" applyAlignment="1">
      <alignment horizontal="center" vertical="top" shrinkToFit="1"/>
    </xf>
    <xf numFmtId="0" fontId="15" fillId="8" borderId="0" xfId="0" applyFont="1" applyFill="1">
      <alignment vertical="center"/>
    </xf>
    <xf numFmtId="0" fontId="0" fillId="8" borderId="0" xfId="0" applyFill="1">
      <alignment vertical="center"/>
    </xf>
    <xf numFmtId="0" fontId="0" fillId="0" borderId="8" xfId="0" applyBorder="1">
      <alignment vertical="center"/>
    </xf>
    <xf numFmtId="0" fontId="0" fillId="0" borderId="33" xfId="0" applyBorder="1">
      <alignment vertical="center"/>
    </xf>
    <xf numFmtId="0" fontId="0" fillId="0" borderId="9" xfId="0" applyBorder="1">
      <alignment vertical="center"/>
    </xf>
    <xf numFmtId="0" fontId="0" fillId="0" borderId="32" xfId="0" applyBorder="1">
      <alignment vertical="center"/>
    </xf>
    <xf numFmtId="0" fontId="0" fillId="0" borderId="3" xfId="0" applyBorder="1">
      <alignment vertical="center"/>
    </xf>
    <xf numFmtId="0" fontId="0" fillId="0" borderId="10" xfId="0" applyBorder="1">
      <alignment vertical="center"/>
    </xf>
    <xf numFmtId="0" fontId="0" fillId="0" borderId="34" xfId="0" applyBorder="1">
      <alignment vertical="center"/>
    </xf>
    <xf numFmtId="0" fontId="0" fillId="0" borderId="11" xfId="0" applyBorder="1">
      <alignment vertical="center"/>
    </xf>
    <xf numFmtId="0" fontId="0" fillId="8" borderId="0" xfId="0" applyFill="1" applyBorder="1">
      <alignment vertical="center"/>
    </xf>
    <xf numFmtId="0" fontId="16" fillId="8" borderId="0" xfId="0" applyFont="1" applyFill="1">
      <alignment vertical="center"/>
    </xf>
    <xf numFmtId="0" fontId="5" fillId="6" borderId="1" xfId="0" applyFont="1" applyFill="1" applyBorder="1" applyAlignment="1">
      <alignment horizontal="left" vertical="top"/>
    </xf>
    <xf numFmtId="0" fontId="5" fillId="7" borderId="2" xfId="0" applyFont="1" applyFill="1" applyBorder="1" applyAlignment="1">
      <alignment horizontal="center" vertical="center" shrinkToFit="1"/>
    </xf>
    <xf numFmtId="0" fontId="5" fillId="6" borderId="4" xfId="0" applyFont="1" applyFill="1" applyBorder="1" applyAlignment="1">
      <alignment horizontal="left" vertical="top"/>
    </xf>
    <xf numFmtId="0" fontId="5" fillId="6" borderId="5" xfId="0" applyFont="1" applyFill="1" applyBorder="1" applyAlignment="1">
      <alignment horizontal="left" vertical="top"/>
    </xf>
    <xf numFmtId="0" fontId="5" fillId="6" borderId="6" xfId="0" applyFont="1" applyFill="1" applyBorder="1" applyAlignment="1">
      <alignment horizontal="left" vertical="top"/>
    </xf>
    <xf numFmtId="0" fontId="5" fillId="7" borderId="1" xfId="0" applyFont="1" applyFill="1" applyBorder="1" applyAlignment="1">
      <alignment horizontal="center" vertical="top"/>
    </xf>
    <xf numFmtId="0" fontId="5" fillId="7" borderId="2" xfId="0" applyFont="1" applyFill="1" applyBorder="1" applyAlignment="1">
      <alignment vertical="top" shrinkToFit="1"/>
    </xf>
    <xf numFmtId="0" fontId="5" fillId="7" borderId="7" xfId="0" applyFont="1" applyFill="1" applyBorder="1" applyAlignment="1">
      <alignment vertical="top" shrinkToFit="1"/>
    </xf>
    <xf numFmtId="0" fontId="5" fillId="7" borderId="1" xfId="0" applyFont="1" applyFill="1" applyBorder="1" applyAlignment="1">
      <alignment vertical="top" shrinkToFit="1"/>
    </xf>
    <xf numFmtId="0" fontId="5" fillId="7" borderId="1" xfId="0" applyFont="1" applyFill="1" applyBorder="1" applyAlignment="1">
      <alignment vertical="top" wrapText="1" shrinkToFit="1"/>
    </xf>
    <xf numFmtId="0" fontId="5" fillId="6" borderId="1" xfId="0" applyFont="1" applyFill="1" applyBorder="1" applyAlignment="1">
      <alignment horizontal="left" vertical="top"/>
    </xf>
    <xf numFmtId="0" fontId="5" fillId="7" borderId="2" xfId="0" applyFont="1" applyFill="1" applyBorder="1" applyAlignment="1">
      <alignment horizontal="center" vertical="center" shrinkToFit="1"/>
    </xf>
    <xf numFmtId="0" fontId="5" fillId="7" borderId="12" xfId="0" applyFont="1" applyFill="1" applyBorder="1" applyAlignment="1">
      <alignment horizontal="center" vertical="center" shrinkToFit="1"/>
    </xf>
    <xf numFmtId="49" fontId="5" fillId="7" borderId="2" xfId="0" applyNumberFormat="1" applyFont="1" applyFill="1" applyBorder="1" applyAlignment="1">
      <alignment horizontal="center" vertical="center" shrinkToFit="1"/>
    </xf>
    <xf numFmtId="49" fontId="5" fillId="7" borderId="12" xfId="0" applyNumberFormat="1" applyFont="1" applyFill="1" applyBorder="1" applyAlignment="1">
      <alignment horizontal="center" vertical="center" shrinkToFit="1"/>
    </xf>
    <xf numFmtId="0" fontId="5" fillId="7" borderId="12" xfId="0" applyFont="1" applyFill="1" applyBorder="1" applyAlignment="1">
      <alignment vertical="top" shrinkToFit="1"/>
    </xf>
    <xf numFmtId="0" fontId="5" fillId="7" borderId="8" xfId="0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center" vertical="top"/>
    </xf>
    <xf numFmtId="0" fontId="5" fillId="7" borderId="32" xfId="0" applyFont="1" applyFill="1" applyBorder="1" applyAlignment="1">
      <alignment horizontal="center" vertical="top"/>
    </xf>
    <xf numFmtId="0" fontId="5" fillId="7" borderId="3" xfId="0" applyFont="1" applyFill="1" applyBorder="1" applyAlignment="1">
      <alignment horizontal="center" vertical="top"/>
    </xf>
    <xf numFmtId="0" fontId="5" fillId="7" borderId="2" xfId="0" applyFont="1" applyFill="1" applyBorder="1" applyAlignment="1">
      <alignment horizontal="center" vertical="center" wrapText="1" shrinkToFit="1"/>
    </xf>
    <xf numFmtId="0" fontId="5" fillId="7" borderId="12" xfId="0" applyFont="1" applyFill="1" applyBorder="1" applyAlignment="1">
      <alignment horizontal="center" vertical="center" wrapText="1" shrinkToFit="1"/>
    </xf>
  </cellXfs>
  <cellStyles count="5">
    <cellStyle name="標準" xfId="0" builtinId="0"/>
    <cellStyle name="標準 2" xfId="1" xr:uid="{00000000-0005-0000-0000-000001000000}"/>
    <cellStyle name="標準_RBA0A460" xfId="2" xr:uid="{00000000-0005-0000-0000-000002000000}"/>
    <cellStyle name="標準_RD00-sample" xfId="3" xr:uid="{110074C1-8439-459F-8694-0C7F217D6707}"/>
    <cellStyle name="標準_目次" xfId="4" xr:uid="{2F4FA35F-FECC-4C3C-84F6-7E32192C031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123825</xdr:rowOff>
        </xdr:from>
        <xdr:to>
          <xdr:col>1</xdr:col>
          <xdr:colOff>619125</xdr:colOff>
          <xdr:row>7</xdr:row>
          <xdr:rowOff>66675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リクエスト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9624</xdr:colOff>
          <xdr:row>4</xdr:row>
          <xdr:rowOff>120643</xdr:rowOff>
        </xdr:from>
        <xdr:to>
          <xdr:col>4</xdr:col>
          <xdr:colOff>604459</xdr:colOff>
          <xdr:row>7</xdr:row>
          <xdr:rowOff>54795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ハッシュ値生成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9624</xdr:colOff>
          <xdr:row>4</xdr:row>
          <xdr:rowOff>120643</xdr:rowOff>
        </xdr:from>
        <xdr:to>
          <xdr:col>4</xdr:col>
          <xdr:colOff>604459</xdr:colOff>
          <xdr:row>7</xdr:row>
          <xdr:rowOff>54795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59184528-079E-4B05-B7C0-D4763A481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ハッシュ値生成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15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Relationship Id="rId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J17"/>
  <sheetViews>
    <sheetView showGridLines="0" zoomScale="130" zoomScaleNormal="130" workbookViewId="0">
      <selection activeCell="C4" sqref="C4"/>
    </sheetView>
  </sheetViews>
  <sheetFormatPr defaultRowHeight="13.5"/>
  <cols>
    <col min="1" max="1" width="2.625" customWidth="1"/>
    <col min="2" max="2" width="33" bestFit="1" customWidth="1"/>
    <col min="3" max="3" width="29" style="1" customWidth="1"/>
    <col min="8" max="8" width="69.625" bestFit="1" customWidth="1"/>
  </cols>
  <sheetData>
    <row r="2" spans="2:10">
      <c r="B2" s="6" t="s">
        <v>0</v>
      </c>
      <c r="C2" s="8" t="s">
        <v>1</v>
      </c>
      <c r="F2" s="38" t="s">
        <v>9</v>
      </c>
      <c r="G2" s="38" t="s">
        <v>40</v>
      </c>
      <c r="H2" s="38" t="s">
        <v>12</v>
      </c>
      <c r="I2" s="38" t="s">
        <v>13</v>
      </c>
      <c r="J2" s="38" t="s">
        <v>46</v>
      </c>
    </row>
    <row r="3" spans="2:10">
      <c r="B3" s="7" t="s">
        <v>11</v>
      </c>
      <c r="C3" s="22" t="s">
        <v>60</v>
      </c>
      <c r="E3" s="1"/>
      <c r="F3" s="7" t="s">
        <v>28</v>
      </c>
      <c r="G3" s="7" t="s">
        <v>41</v>
      </c>
      <c r="H3" s="7" t="s">
        <v>43</v>
      </c>
      <c r="I3" s="7">
        <v>8080</v>
      </c>
      <c r="J3" s="30" t="s">
        <v>47</v>
      </c>
    </row>
    <row r="4" spans="2:10">
      <c r="B4" s="7" t="s">
        <v>10</v>
      </c>
      <c r="C4" s="23" t="str">
        <f>VLOOKUP(C3,$F$3:$I$10,3,FALSE)</f>
        <v>localhost</v>
      </c>
      <c r="E4" s="1"/>
      <c r="F4" s="7" t="s">
        <v>29</v>
      </c>
      <c r="G4" s="7" t="s">
        <v>41</v>
      </c>
      <c r="H4" s="7" t="s">
        <v>42</v>
      </c>
      <c r="I4" s="7">
        <v>8080</v>
      </c>
      <c r="J4" s="7" t="s">
        <v>47</v>
      </c>
    </row>
    <row r="5" spans="2:10">
      <c r="B5" s="7" t="s">
        <v>44</v>
      </c>
      <c r="C5" s="23">
        <f>IF(VLOOKUP(C3,$F$3:$I$10,4,FALSE)&lt;&gt;0,VLOOKUP(C3,$F$3:$I$10,4,FALSE),"")</f>
        <v>8080</v>
      </c>
      <c r="F5" s="7" t="s">
        <v>58</v>
      </c>
      <c r="G5" s="7" t="s">
        <v>41</v>
      </c>
      <c r="H5" s="7" t="s">
        <v>57</v>
      </c>
      <c r="I5" s="7" t="s">
        <v>59</v>
      </c>
      <c r="J5" s="7" t="s">
        <v>47</v>
      </c>
    </row>
    <row r="6" spans="2:10">
      <c r="B6" s="7" t="s">
        <v>45</v>
      </c>
      <c r="C6" s="23" t="str">
        <f>VLOOKUP(C3,$F$3:$J$10,5,FALSE)</f>
        <v>-</v>
      </c>
    </row>
    <row r="7" spans="2:10">
      <c r="B7" s="7" t="s">
        <v>2</v>
      </c>
      <c r="C7" s="24" t="str">
        <f>VLOOKUP(C3,$F$3:$I$101,2,FALSE) &amp; "://" &amp; C4 &amp; IF(OR(C5="",C5="-"),"",":"&amp;C5)&amp; IF(C6="-","",C6)</f>
        <v>http://localhost:8080</v>
      </c>
    </row>
    <row r="8" spans="2:10">
      <c r="C8" s="5"/>
      <c r="D8" s="2"/>
      <c r="E8" s="2"/>
      <c r="F8" s="2"/>
      <c r="G8" s="2"/>
      <c r="H8" s="4"/>
      <c r="I8" s="4"/>
      <c r="J8" s="4"/>
    </row>
    <row r="9" spans="2:10">
      <c r="B9" s="7" t="s">
        <v>3</v>
      </c>
      <c r="C9" s="10">
        <f ca="1">NOW()</f>
        <v>43836.69143136574</v>
      </c>
      <c r="D9" s="2"/>
      <c r="E9" s="2"/>
      <c r="F9" s="2"/>
      <c r="G9" s="2"/>
      <c r="H9" s="4"/>
      <c r="I9" s="4"/>
      <c r="J9" s="4"/>
    </row>
    <row r="10" spans="2:10">
      <c r="C10" s="3"/>
      <c r="D10" s="4"/>
      <c r="E10" s="4"/>
      <c r="F10" s="4"/>
      <c r="G10" s="4"/>
      <c r="H10" s="4"/>
      <c r="I10" s="4"/>
      <c r="J10" s="4"/>
    </row>
    <row r="11" spans="2:10">
      <c r="C11" s="3"/>
      <c r="D11" s="4"/>
      <c r="E11" s="4"/>
      <c r="F11" s="4"/>
      <c r="G11" s="4"/>
      <c r="H11" s="4"/>
      <c r="I11" s="4"/>
      <c r="J11" s="4"/>
    </row>
    <row r="12" spans="2:10">
      <c r="C12"/>
    </row>
    <row r="13" spans="2:10">
      <c r="C13"/>
    </row>
    <row r="14" spans="2:10">
      <c r="C14"/>
    </row>
    <row r="15" spans="2:10">
      <c r="C15"/>
    </row>
    <row r="16" spans="2:10">
      <c r="C16"/>
    </row>
    <row r="17" spans="3:3">
      <c r="C17"/>
    </row>
  </sheetData>
  <customSheetViews>
    <customSheetView guid="{713FC75E-AADE-44AD-B2AA-5D63E9472B67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/>
    </customSheetView>
    <customSheetView guid="{E98BF95A-7ED6-4B0B-8907-C5A38FFF3ED8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/>
    </customSheetView>
    <customSheetView guid="{45578662-6FBF-4681-81C5-CEBCFF726519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/>
    </customSheetView>
    <customSheetView guid="{7F0D5A42-E3C9-43F0-AD48-3918E9B5B3FF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/>
    </customSheetView>
    <customSheetView guid="{58AA5558-1303-4FBC-AB7B-E0F77F1E425C}" scale="130" showGridLines="0" topLeftCell="B1">
      <selection activeCell="B1" sqref="B1"/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/>
    </customSheetView>
  </customSheetViews>
  <phoneticPr fontId="2"/>
  <dataValidations count="1">
    <dataValidation type="list" allowBlank="1" showInputMessage="1" sqref="C3" xr:uid="{00000000-0002-0000-0000-000000000000}">
      <formula1>$F$3:$F$10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4"/>
  <sheetViews>
    <sheetView showGridLines="0" zoomScaleNormal="100" workbookViewId="0"/>
  </sheetViews>
  <sheetFormatPr defaultColWidth="3.75" defaultRowHeight="13.5"/>
  <sheetData>
    <row r="1" spans="1:3">
      <c r="A1" s="26" t="s">
        <v>24</v>
      </c>
    </row>
    <row r="4" spans="1:3">
      <c r="A4" t="s">
        <v>14</v>
      </c>
    </row>
    <row r="6" spans="1:3">
      <c r="A6" t="s">
        <v>8</v>
      </c>
    </row>
    <row r="7" spans="1:3">
      <c r="B7" t="s">
        <v>18</v>
      </c>
    </row>
    <row r="8" spans="1:3">
      <c r="C8" t="s">
        <v>19</v>
      </c>
    </row>
    <row r="10" spans="1:3">
      <c r="B10" t="s">
        <v>17</v>
      </c>
    </row>
    <row r="11" spans="1:3">
      <c r="C11" t="s">
        <v>25</v>
      </c>
    </row>
    <row r="13" spans="1:3">
      <c r="B13" t="s">
        <v>20</v>
      </c>
    </row>
    <row r="14" spans="1:3">
      <c r="C14" t="s">
        <v>21</v>
      </c>
    </row>
    <row r="16" spans="1:3">
      <c r="B16" t="s">
        <v>22</v>
      </c>
    </row>
    <row r="17" spans="1:7">
      <c r="C17" t="s">
        <v>23</v>
      </c>
    </row>
    <row r="19" spans="1:7">
      <c r="A19" t="s">
        <v>7</v>
      </c>
    </row>
    <row r="20" spans="1:7">
      <c r="B20" t="s">
        <v>27</v>
      </c>
    </row>
    <row r="22" spans="1:7">
      <c r="B22" s="110" t="s">
        <v>6</v>
      </c>
      <c r="C22" s="110"/>
      <c r="D22" s="110"/>
      <c r="E22" s="110"/>
      <c r="F22" s="110"/>
      <c r="G22" s="110"/>
    </row>
    <row r="23" spans="1:7">
      <c r="B23" s="110"/>
      <c r="C23" s="110"/>
      <c r="D23" s="110"/>
      <c r="E23" s="110"/>
      <c r="F23" s="110"/>
      <c r="G23" s="110"/>
    </row>
    <row r="24" spans="1:7">
      <c r="B24" s="107" t="s">
        <v>26</v>
      </c>
      <c r="C24" s="108"/>
      <c r="D24" s="108"/>
      <c r="E24" s="108"/>
      <c r="F24" s="108"/>
      <c r="G24" s="109"/>
    </row>
  </sheetData>
  <customSheetViews>
    <customSheetView guid="{713FC75E-AADE-44AD-B2AA-5D63E9472B67}" showGridLines="0"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/>
    </customSheetView>
    <customSheetView guid="{E98BF95A-7ED6-4B0B-8907-C5A38FFF3ED8}" showGridLines="0">
      <selection activeCell="C11" sqref="C11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/>
    </customSheetView>
    <customSheetView guid="{45578662-6FBF-4681-81C5-CEBCFF726519}" showGridLines="0"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/>
    </customSheetView>
    <customSheetView guid="{7F0D5A42-E3C9-43F0-AD48-3918E9B5B3FF}" showGridLines="0"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/>
    </customSheetView>
    <customSheetView guid="{58AA5558-1303-4FBC-AB7B-E0F77F1E425C}" showGridLines="0"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/>
    </customSheetView>
  </customSheetViews>
  <mergeCells count="2">
    <mergeCell ref="B24:G24"/>
    <mergeCell ref="B22:G23"/>
  </mergeCells>
  <phoneticPr fontId="2"/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P61"/>
  <sheetViews>
    <sheetView zoomScale="115" zoomScaleNormal="115" workbookViewId="0"/>
  </sheetViews>
  <sheetFormatPr defaultRowHeight="10.5"/>
  <cols>
    <col min="1" max="1" width="3.5" style="9" customWidth="1"/>
    <col min="2" max="2" width="15.125" style="9" customWidth="1"/>
    <col min="3" max="3" width="95.5" style="9" customWidth="1"/>
    <col min="4" max="4" width="7.75" style="9" customWidth="1"/>
    <col min="5" max="5" width="9" style="9"/>
    <col min="6" max="6" width="9.875" style="9" bestFit="1" customWidth="1"/>
    <col min="7" max="50" width="9" style="9"/>
    <col min="51" max="51" width="4.5" style="9" customWidth="1"/>
    <col min="52" max="16384" width="9" style="9"/>
  </cols>
  <sheetData>
    <row r="1" spans="1:68">
      <c r="B1" s="11" t="s">
        <v>39</v>
      </c>
      <c r="C1" s="37" t="str">
        <f>IF(ISBLANK($B$1),"",共通設定値!$C$7&amp;IF(LEFT($B$1,1)="/",$B$1,"/"&amp;$B$1))</f>
        <v>http://localhost:8080/ifxxxx</v>
      </c>
    </row>
    <row r="3" spans="1:68">
      <c r="B3" s="11" t="s">
        <v>30</v>
      </c>
      <c r="C3" s="11" t="s">
        <v>31</v>
      </c>
    </row>
    <row r="4" spans="1:68">
      <c r="B4" s="29" t="s">
        <v>33</v>
      </c>
      <c r="C4" s="29" t="s">
        <v>48</v>
      </c>
    </row>
    <row r="6" spans="1:68" ht="13.5">
      <c r="K6" s="1"/>
    </row>
    <row r="7" spans="1:68">
      <c r="C7" s="31"/>
      <c r="E7" s="20" t="s">
        <v>55</v>
      </c>
      <c r="F7" s="18"/>
      <c r="G7" s="18"/>
      <c r="H7" s="18"/>
      <c r="I7" s="18"/>
    </row>
    <row r="8" spans="1:68">
      <c r="E8" s="20"/>
      <c r="F8" s="18"/>
      <c r="G8" s="17"/>
      <c r="H8" s="17"/>
      <c r="I8" s="17"/>
    </row>
    <row r="9" spans="1:68">
      <c r="G9" s="15" t="s">
        <v>56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</row>
    <row r="10" spans="1:68">
      <c r="A10" s="111" t="s">
        <v>16</v>
      </c>
      <c r="B10" s="110" t="s">
        <v>6</v>
      </c>
      <c r="C10" s="110"/>
      <c r="E10" s="113" t="s">
        <v>54</v>
      </c>
      <c r="F10" s="114" t="s">
        <v>15</v>
      </c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</row>
    <row r="11" spans="1:68">
      <c r="A11" s="112"/>
      <c r="B11" s="110"/>
      <c r="C11" s="110"/>
      <c r="E11" s="113"/>
      <c r="F11" s="113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</row>
    <row r="12" spans="1:68" s="16" customFormat="1">
      <c r="A12" s="19">
        <f t="shared" ref="A12:A41" si="0">ROW()-11</f>
        <v>1</v>
      </c>
      <c r="B12" s="107"/>
      <c r="C12" s="109"/>
      <c r="D12" s="9"/>
      <c r="E12" s="13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</row>
    <row r="13" spans="1:68" s="16" customFormat="1">
      <c r="A13" s="19">
        <f t="shared" si="0"/>
        <v>2</v>
      </c>
      <c r="B13" s="107"/>
      <c r="C13" s="109"/>
      <c r="D13" s="9"/>
      <c r="E13" s="13"/>
      <c r="F13" s="1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</row>
    <row r="14" spans="1:68" s="16" customFormat="1">
      <c r="A14" s="19">
        <f t="shared" si="0"/>
        <v>3</v>
      </c>
      <c r="B14" s="107"/>
      <c r="C14" s="109"/>
      <c r="D14" s="9"/>
      <c r="E14" s="13"/>
      <c r="F14" s="1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</row>
    <row r="15" spans="1:68" s="16" customFormat="1">
      <c r="A15" s="19">
        <f t="shared" si="0"/>
        <v>4</v>
      </c>
      <c r="B15" s="115"/>
      <c r="C15" s="115"/>
      <c r="D15" s="9"/>
      <c r="E15" s="13"/>
      <c r="F15" s="1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</row>
    <row r="16" spans="1:68" s="16" customFormat="1">
      <c r="A16" s="19">
        <f t="shared" si="0"/>
        <v>5</v>
      </c>
      <c r="B16" s="115"/>
      <c r="C16" s="115"/>
      <c r="D16" s="9"/>
      <c r="E16" s="13"/>
      <c r="F16" s="1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</row>
    <row r="17" spans="1:68" s="16" customFormat="1">
      <c r="A17" s="19">
        <f t="shared" si="0"/>
        <v>6</v>
      </c>
      <c r="B17" s="115"/>
      <c r="C17" s="115"/>
      <c r="D17" s="9"/>
      <c r="E17" s="13"/>
      <c r="F17" s="1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</row>
    <row r="18" spans="1:68" s="16" customFormat="1">
      <c r="A18" s="19">
        <f t="shared" si="0"/>
        <v>7</v>
      </c>
      <c r="B18" s="115"/>
      <c r="C18" s="115"/>
      <c r="D18" s="9"/>
      <c r="E18" s="13"/>
      <c r="F18" s="1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</row>
    <row r="19" spans="1:68" s="16" customFormat="1">
      <c r="A19" s="19">
        <f t="shared" si="0"/>
        <v>8</v>
      </c>
      <c r="B19" s="115"/>
      <c r="C19" s="115"/>
      <c r="D19" s="9"/>
      <c r="E19" s="13"/>
      <c r="F19" s="1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</row>
    <row r="20" spans="1:68" s="16" customFormat="1">
      <c r="A20" s="19">
        <f t="shared" si="0"/>
        <v>9</v>
      </c>
      <c r="B20" s="115"/>
      <c r="C20" s="115"/>
      <c r="D20" s="9"/>
      <c r="E20" s="13"/>
      <c r="F20" s="1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</row>
    <row r="21" spans="1:68" s="16" customFormat="1">
      <c r="A21" s="19">
        <f t="shared" si="0"/>
        <v>10</v>
      </c>
      <c r="B21" s="115"/>
      <c r="C21" s="115"/>
      <c r="D21" s="9"/>
      <c r="E21" s="13"/>
      <c r="F21" s="1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</row>
    <row r="22" spans="1:68" s="16" customFormat="1">
      <c r="A22" s="19">
        <f t="shared" si="0"/>
        <v>11</v>
      </c>
      <c r="B22" s="115"/>
      <c r="C22" s="115"/>
      <c r="D22" s="9"/>
      <c r="E22" s="13"/>
      <c r="F22" s="1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</row>
    <row r="23" spans="1:68" s="16" customFormat="1">
      <c r="A23" s="19">
        <f t="shared" si="0"/>
        <v>12</v>
      </c>
      <c r="B23" s="115"/>
      <c r="C23" s="115"/>
      <c r="D23" s="9"/>
      <c r="E23" s="13"/>
      <c r="F23" s="1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</row>
    <row r="24" spans="1:68" s="16" customFormat="1">
      <c r="A24" s="19">
        <f t="shared" si="0"/>
        <v>13</v>
      </c>
      <c r="B24" s="115"/>
      <c r="C24" s="115"/>
      <c r="D24" s="9"/>
      <c r="E24" s="13"/>
      <c r="F24" s="1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</row>
    <row r="25" spans="1:68" s="16" customFormat="1">
      <c r="A25" s="19">
        <f t="shared" si="0"/>
        <v>14</v>
      </c>
      <c r="B25" s="115"/>
      <c r="C25" s="115"/>
      <c r="D25" s="9"/>
      <c r="E25" s="13"/>
      <c r="F25" s="1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</row>
    <row r="26" spans="1:68" s="16" customFormat="1">
      <c r="A26" s="19">
        <f t="shared" si="0"/>
        <v>15</v>
      </c>
      <c r="B26" s="115"/>
      <c r="C26" s="115"/>
      <c r="D26" s="9"/>
      <c r="E26" s="13"/>
      <c r="F26" s="1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</row>
    <row r="27" spans="1:68" s="16" customFormat="1">
      <c r="A27" s="19">
        <f t="shared" si="0"/>
        <v>16</v>
      </c>
      <c r="B27" s="115"/>
      <c r="C27" s="115"/>
      <c r="D27" s="9"/>
      <c r="E27" s="13"/>
      <c r="F27" s="1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</row>
    <row r="28" spans="1:68" s="16" customFormat="1">
      <c r="A28" s="19">
        <f t="shared" si="0"/>
        <v>17</v>
      </c>
      <c r="B28" s="115"/>
      <c r="C28" s="115"/>
      <c r="D28" s="9"/>
      <c r="E28" s="13"/>
      <c r="F28" s="1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</row>
    <row r="29" spans="1:68" s="16" customFormat="1">
      <c r="A29" s="19">
        <f t="shared" si="0"/>
        <v>18</v>
      </c>
      <c r="B29" s="115"/>
      <c r="C29" s="115"/>
      <c r="D29" s="9"/>
      <c r="E29" s="13"/>
      <c r="F29" s="1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</row>
    <row r="30" spans="1:68" s="16" customFormat="1">
      <c r="A30" s="19">
        <f t="shared" si="0"/>
        <v>19</v>
      </c>
      <c r="B30" s="115"/>
      <c r="C30" s="115"/>
      <c r="D30" s="9"/>
      <c r="E30" s="13"/>
      <c r="F30" s="1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</row>
    <row r="31" spans="1:68" s="16" customFormat="1">
      <c r="A31" s="19">
        <f t="shared" si="0"/>
        <v>20</v>
      </c>
      <c r="B31" s="115"/>
      <c r="C31" s="115"/>
      <c r="D31" s="9"/>
      <c r="E31" s="13"/>
      <c r="F31" s="1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</row>
    <row r="32" spans="1:68" s="16" customFormat="1">
      <c r="A32" s="19">
        <f t="shared" si="0"/>
        <v>21</v>
      </c>
      <c r="B32" s="115"/>
      <c r="C32" s="115"/>
      <c r="D32" s="9"/>
      <c r="E32" s="13"/>
      <c r="F32" s="1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</row>
    <row r="33" spans="1:68" s="16" customFormat="1">
      <c r="A33" s="19">
        <f t="shared" si="0"/>
        <v>22</v>
      </c>
      <c r="B33" s="115"/>
      <c r="C33" s="115"/>
      <c r="D33" s="9"/>
      <c r="E33" s="13"/>
      <c r="F33" s="1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</row>
    <row r="34" spans="1:68" s="16" customFormat="1">
      <c r="A34" s="19">
        <f t="shared" si="0"/>
        <v>23</v>
      </c>
      <c r="B34" s="115"/>
      <c r="C34" s="115"/>
      <c r="D34" s="9"/>
      <c r="E34" s="13"/>
      <c r="F34" s="1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</row>
    <row r="35" spans="1:68" s="16" customFormat="1">
      <c r="A35" s="19">
        <f t="shared" si="0"/>
        <v>24</v>
      </c>
      <c r="B35" s="115"/>
      <c r="C35" s="115"/>
      <c r="D35" s="9"/>
      <c r="E35" s="13"/>
      <c r="F35" s="1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</row>
    <row r="36" spans="1:68" s="16" customFormat="1">
      <c r="A36" s="19">
        <f t="shared" si="0"/>
        <v>25</v>
      </c>
      <c r="B36" s="115"/>
      <c r="C36" s="115"/>
      <c r="D36" s="9"/>
      <c r="E36" s="13"/>
      <c r="F36" s="1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</row>
    <row r="37" spans="1:68" s="16" customFormat="1">
      <c r="A37" s="19">
        <f t="shared" si="0"/>
        <v>26</v>
      </c>
      <c r="B37" s="115"/>
      <c r="C37" s="115"/>
      <c r="D37" s="9"/>
      <c r="E37" s="13"/>
      <c r="F37" s="1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</row>
    <row r="38" spans="1:68" s="16" customFormat="1">
      <c r="A38" s="19">
        <f t="shared" si="0"/>
        <v>27</v>
      </c>
      <c r="B38" s="115"/>
      <c r="C38" s="115"/>
      <c r="D38" s="9"/>
      <c r="E38" s="13"/>
      <c r="F38" s="1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</row>
    <row r="39" spans="1:68" s="16" customFormat="1">
      <c r="A39" s="19">
        <f t="shared" si="0"/>
        <v>28</v>
      </c>
      <c r="B39" s="115"/>
      <c r="C39" s="115"/>
      <c r="D39" s="9"/>
      <c r="E39" s="13"/>
      <c r="F39" s="1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</row>
    <row r="40" spans="1:68" s="16" customFormat="1">
      <c r="A40" s="19">
        <f t="shared" si="0"/>
        <v>29</v>
      </c>
      <c r="B40" s="115"/>
      <c r="C40" s="115"/>
      <c r="D40" s="9"/>
      <c r="E40" s="13"/>
      <c r="F40" s="1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</row>
    <row r="41" spans="1:68" s="16" customFormat="1">
      <c r="A41" s="19">
        <f t="shared" si="0"/>
        <v>30</v>
      </c>
      <c r="B41" s="115"/>
      <c r="C41" s="115"/>
      <c r="D41" s="9"/>
      <c r="E41" s="13"/>
      <c r="F41" s="1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</row>
    <row r="42" spans="1:68" s="16" customFormat="1">
      <c r="A42" s="19">
        <v>31</v>
      </c>
      <c r="B42" s="115"/>
      <c r="C42" s="115"/>
      <c r="D42" s="9"/>
      <c r="E42" s="13"/>
      <c r="F42" s="1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</row>
    <row r="43" spans="1:68">
      <c r="A43" s="19">
        <v>32</v>
      </c>
      <c r="B43" s="115"/>
      <c r="C43" s="115"/>
      <c r="E43" s="13"/>
      <c r="F43" s="1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</row>
    <row r="44" spans="1:68">
      <c r="A44" s="19">
        <v>33</v>
      </c>
      <c r="B44" s="115"/>
      <c r="C44" s="115"/>
      <c r="E44" s="13"/>
      <c r="F44" s="1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</row>
    <row r="45" spans="1:68">
      <c r="A45" s="19">
        <v>34</v>
      </c>
      <c r="B45" s="115"/>
      <c r="C45" s="115"/>
      <c r="E45" s="13"/>
      <c r="F45" s="1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</row>
    <row r="46" spans="1:68">
      <c r="A46" s="19">
        <v>35</v>
      </c>
      <c r="B46" s="115"/>
      <c r="C46" s="115"/>
      <c r="E46" s="13"/>
      <c r="F46" s="1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</row>
    <row r="47" spans="1:68">
      <c r="A47" s="19">
        <v>36</v>
      </c>
      <c r="B47" s="115"/>
      <c r="C47" s="115"/>
      <c r="E47" s="13"/>
      <c r="F47" s="1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</row>
    <row r="48" spans="1:68">
      <c r="A48" s="19">
        <v>37</v>
      </c>
      <c r="B48" s="115"/>
      <c r="C48" s="115"/>
      <c r="E48" s="13"/>
      <c r="F48" s="1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</row>
    <row r="49" spans="1:68">
      <c r="A49" s="19">
        <v>38</v>
      </c>
      <c r="B49" s="115"/>
      <c r="C49" s="115"/>
      <c r="E49" s="13"/>
      <c r="F49" s="1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</row>
    <row r="50" spans="1:68">
      <c r="A50" s="19">
        <v>39</v>
      </c>
      <c r="B50" s="115"/>
      <c r="C50" s="115"/>
      <c r="E50" s="13"/>
      <c r="F50" s="1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</row>
    <row r="51" spans="1:68">
      <c r="A51" s="19">
        <v>40</v>
      </c>
      <c r="B51" s="115"/>
      <c r="C51" s="115"/>
      <c r="E51" s="13"/>
      <c r="F51" s="1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</row>
    <row r="52" spans="1:68">
      <c r="A52" s="19">
        <v>41</v>
      </c>
      <c r="B52" s="115"/>
      <c r="C52" s="115"/>
      <c r="E52" s="13"/>
      <c r="F52" s="1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</row>
    <row r="53" spans="1:68">
      <c r="A53" s="19">
        <v>42</v>
      </c>
      <c r="B53" s="115"/>
      <c r="C53" s="115"/>
      <c r="E53" s="13"/>
      <c r="F53" s="1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</row>
    <row r="54" spans="1:68">
      <c r="A54" s="19">
        <v>43</v>
      </c>
      <c r="B54" s="115"/>
      <c r="C54" s="115"/>
      <c r="E54" s="13"/>
      <c r="F54" s="1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</row>
    <row r="55" spans="1:68">
      <c r="A55" s="19">
        <v>44</v>
      </c>
      <c r="B55" s="115"/>
      <c r="C55" s="115"/>
      <c r="E55" s="13"/>
      <c r="F55" s="1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</row>
    <row r="56" spans="1:68">
      <c r="A56" s="19">
        <v>45</v>
      </c>
      <c r="B56" s="115"/>
      <c r="C56" s="115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</row>
    <row r="57" spans="1:68">
      <c r="A57" s="19">
        <v>46</v>
      </c>
      <c r="B57" s="115"/>
      <c r="C57" s="115"/>
      <c r="E57" s="13"/>
      <c r="F57" s="1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</row>
    <row r="58" spans="1:68">
      <c r="A58" s="19">
        <v>47</v>
      </c>
      <c r="B58" s="115"/>
      <c r="C58" s="115"/>
      <c r="E58" s="13"/>
      <c r="F58" s="1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</row>
    <row r="59" spans="1:68">
      <c r="A59" s="19">
        <v>48</v>
      </c>
      <c r="B59" s="115"/>
      <c r="C59" s="115"/>
      <c r="E59" s="13"/>
      <c r="F59" s="1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</row>
    <row r="60" spans="1:68">
      <c r="A60" s="19">
        <v>49</v>
      </c>
      <c r="B60" s="115"/>
      <c r="C60" s="115"/>
      <c r="E60" s="13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</row>
    <row r="61" spans="1:68">
      <c r="A61" s="19">
        <v>50</v>
      </c>
      <c r="B61" s="115"/>
      <c r="C61" s="115"/>
      <c r="E61" s="13"/>
      <c r="F61" s="1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</row>
  </sheetData>
  <sheetProtection formatCells="0"/>
  <customSheetViews>
    <customSheetView guid="{713FC75E-AADE-44AD-B2AA-5D63E9472B67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1"/>
      <headerFooter alignWithMargins="0">
        <oddHeader>&amp;C&amp;A</oddHeader>
      </headerFooter>
    </customSheetView>
    <customSheetView guid="{E98BF95A-7ED6-4B0B-8907-C5A38FFF3ED8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2"/>
      <headerFooter alignWithMargins="0">
        <oddHeader>&amp;C&amp;A</oddHeader>
      </headerFooter>
    </customSheetView>
    <customSheetView guid="{45578662-6FBF-4681-81C5-CEBCFF726519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3"/>
      <headerFooter alignWithMargins="0">
        <oddHeader>&amp;C&amp;A</oddHeader>
      </headerFooter>
    </customSheetView>
    <customSheetView guid="{7F0D5A42-E3C9-43F0-AD48-3918E9B5B3FF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4"/>
      <headerFooter alignWithMargins="0">
        <oddHeader>&amp;C&amp;A</oddHeader>
      </headerFooter>
    </customSheetView>
    <customSheetView guid="{58AA5558-1303-4FBC-AB7B-E0F77F1E425C}">
      <pane xSplit="1" ySplit="11" topLeftCell="B12" activePane="bottomRight" state="frozen"/>
      <selection pane="bottomRight"/>
      <pageMargins left="0.78700000000000003" right="0.78700000000000003" top="0.98399999999999999" bottom="0.98399999999999999" header="0.51200000000000001" footer="0.51200000000000001"/>
      <pageSetup paperSize="9" orientation="portrait" r:id="rId5"/>
      <headerFooter alignWithMargins="0">
        <oddHeader>&amp;C&amp;A</oddHeader>
      </headerFooter>
    </customSheetView>
  </customSheetViews>
  <mergeCells count="54">
    <mergeCell ref="B58:C58"/>
    <mergeCell ref="B59:C59"/>
    <mergeCell ref="B60:C60"/>
    <mergeCell ref="B61:C61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5:C45"/>
    <mergeCell ref="B46:C46"/>
    <mergeCell ref="B47:C47"/>
    <mergeCell ref="B38:C38"/>
    <mergeCell ref="B39:C39"/>
    <mergeCell ref="B40:C40"/>
    <mergeCell ref="B41:C41"/>
    <mergeCell ref="B42:C42"/>
    <mergeCell ref="B33:C33"/>
    <mergeCell ref="B34:C34"/>
    <mergeCell ref="B35:C35"/>
    <mergeCell ref="B36:C36"/>
    <mergeCell ref="B37:C37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B18:C18"/>
    <mergeCell ref="B19:C19"/>
    <mergeCell ref="B20:C20"/>
    <mergeCell ref="B21:C21"/>
    <mergeCell ref="B22:C22"/>
    <mergeCell ref="B13:C13"/>
    <mergeCell ref="B14:C14"/>
    <mergeCell ref="B15:C15"/>
    <mergeCell ref="B16:C16"/>
    <mergeCell ref="B17:C17"/>
    <mergeCell ref="A10:A11"/>
    <mergeCell ref="B10:C11"/>
    <mergeCell ref="E10:E11"/>
    <mergeCell ref="F10:F11"/>
    <mergeCell ref="B12:C12"/>
  </mergeCells>
  <phoneticPr fontId="2"/>
  <dataValidations count="2">
    <dataValidation type="list" allowBlank="1" showInputMessage="1" showErrorMessage="1" sqref="E12:E61" xr:uid="{00000000-0002-0000-0200-000000000000}">
      <formula1>"○"</formula1>
    </dataValidation>
    <dataValidation type="list" allowBlank="1" showInputMessage="1" sqref="G8:I8 G12:AX61" xr:uid="{00000000-0002-0000-0200-000001000000}">
      <formula1>"(null)"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6"/>
  <headerFooter alignWithMargins="0">
    <oddHeader>&amp;C&amp;A</oddHead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9" name="Button 1">
              <controlPr defaultSize="0" print="0" autoFill="0" autoPict="0" macro="[0]!sendDenbunAndSplitResponseSeibu">
                <anchor moveWithCells="1" sizeWithCells="1">
                  <from>
                    <xdr:col>1</xdr:col>
                    <xdr:colOff>28575</xdr:colOff>
                    <xdr:row>4</xdr:row>
                    <xdr:rowOff>123825</xdr:rowOff>
                  </from>
                  <to>
                    <xdr:col>1</xdr:col>
                    <xdr:colOff>619125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FCADE5FE-E7F4-4FBC-95B2-1CF5152C433E}">
          <x14:formula1>
            <xm:f>項目名!$D$3:$D$5</xm:f>
          </x14:formula1>
          <xm:sqref>B1</xm:sqref>
        </x14:dataValidation>
        <x14:dataValidation type="list" allowBlank="1" showInputMessage="1" showErrorMessage="1" xr:uid="{9A73F2C4-D3B6-4B71-BBE1-552D26A9339A}">
          <x14:formula1>
            <xm:f>項目名!$B$3:$B$4</xm:f>
          </x14:formula1>
          <xm:sqref>B4</xm:sqref>
        </x14:dataValidation>
        <x14:dataValidation type="list" allowBlank="1" showInputMessage="1" showErrorMessage="1" xr:uid="{986768F6-BCC9-4E29-A50B-77DFAA471AC7}">
          <x14:formula1>
            <xm:f>項目名!$C$3:$C$4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F5377-DCF5-46F9-8E52-3D79C41732B6}">
  <sheetPr codeName="Sheet5"/>
  <dimension ref="B1:F7"/>
  <sheetViews>
    <sheetView workbookViewId="0">
      <selection activeCell="F4" sqref="F4"/>
    </sheetView>
  </sheetViews>
  <sheetFormatPr defaultRowHeight="13.5"/>
  <cols>
    <col min="1" max="1" width="9" style="32"/>
    <col min="2" max="2" width="14.375" style="32" bestFit="1" customWidth="1"/>
    <col min="3" max="3" width="17.75" style="32" bestFit="1" customWidth="1"/>
    <col min="4" max="4" width="20.125" style="32" bestFit="1" customWidth="1"/>
    <col min="5" max="5" width="9" style="32"/>
    <col min="6" max="6" width="53" style="32" bestFit="1" customWidth="1"/>
    <col min="7" max="16384" width="9" style="32"/>
  </cols>
  <sheetData>
    <row r="1" spans="2:6">
      <c r="F1" s="32" t="s">
        <v>52</v>
      </c>
    </row>
    <row r="2" spans="2:6">
      <c r="B2" s="33" t="s">
        <v>32</v>
      </c>
      <c r="C2" s="33" t="s">
        <v>36</v>
      </c>
      <c r="D2" s="33" t="s">
        <v>50</v>
      </c>
      <c r="F2" s="33" t="s">
        <v>50</v>
      </c>
    </row>
    <row r="3" spans="2:6">
      <c r="B3" s="34" t="s">
        <v>34</v>
      </c>
      <c r="C3" s="34" t="s">
        <v>37</v>
      </c>
      <c r="D3" s="34" t="s">
        <v>51</v>
      </c>
      <c r="F3" s="35" t="s">
        <v>53</v>
      </c>
    </row>
    <row r="4" spans="2:6">
      <c r="B4" s="34" t="s">
        <v>35</v>
      </c>
      <c r="C4" s="34" t="s">
        <v>49</v>
      </c>
      <c r="D4" s="34" t="s">
        <v>38</v>
      </c>
      <c r="F4" s="35"/>
    </row>
    <row r="5" spans="2:6">
      <c r="B5" s="34"/>
      <c r="C5" s="34"/>
      <c r="D5" s="34" t="s">
        <v>39</v>
      </c>
    </row>
    <row r="7" spans="2:6">
      <c r="C7" s="36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621E-9DF9-4389-B4CC-3FA4EBACB620}">
  <sheetPr codeName="Sheet6">
    <pageSetUpPr fitToPage="1"/>
  </sheetPr>
  <dimension ref="A1:G31"/>
  <sheetViews>
    <sheetView view="pageBreakPreview" zoomScaleNormal="100" zoomScaleSheetLayoutView="100" workbookViewId="0">
      <selection activeCell="D17" sqref="D17"/>
    </sheetView>
  </sheetViews>
  <sheetFormatPr defaultRowHeight="13.5"/>
  <cols>
    <col min="1" max="1" width="9.125" style="46" customWidth="1"/>
    <col min="2" max="2" width="6.625" style="46" customWidth="1"/>
    <col min="3" max="3" width="15" style="46" customWidth="1"/>
    <col min="4" max="4" width="20.625" style="46" customWidth="1"/>
    <col min="5" max="5" width="29.25" style="47" customWidth="1"/>
    <col min="6" max="6" width="44.375" style="47" customWidth="1"/>
    <col min="7" max="256" width="9" style="46"/>
    <col min="257" max="257" width="9.125" style="46" customWidth="1"/>
    <col min="258" max="258" width="6.625" style="46" customWidth="1"/>
    <col min="259" max="259" width="15" style="46" customWidth="1"/>
    <col min="260" max="260" width="20.625" style="46" customWidth="1"/>
    <col min="261" max="261" width="29.25" style="46" customWidth="1"/>
    <col min="262" max="262" width="44.375" style="46" customWidth="1"/>
    <col min="263" max="512" width="9" style="46"/>
    <col min="513" max="513" width="9.125" style="46" customWidth="1"/>
    <col min="514" max="514" width="6.625" style="46" customWidth="1"/>
    <col min="515" max="515" width="15" style="46" customWidth="1"/>
    <col min="516" max="516" width="20.625" style="46" customWidth="1"/>
    <col min="517" max="517" width="29.25" style="46" customWidth="1"/>
    <col min="518" max="518" width="44.375" style="46" customWidth="1"/>
    <col min="519" max="768" width="9" style="46"/>
    <col min="769" max="769" width="9.125" style="46" customWidth="1"/>
    <col min="770" max="770" width="6.625" style="46" customWidth="1"/>
    <col min="771" max="771" width="15" style="46" customWidth="1"/>
    <col min="772" max="772" width="20.625" style="46" customWidth="1"/>
    <col min="773" max="773" width="29.25" style="46" customWidth="1"/>
    <col min="774" max="774" width="44.375" style="46" customWidth="1"/>
    <col min="775" max="1024" width="9" style="46"/>
    <col min="1025" max="1025" width="9.125" style="46" customWidth="1"/>
    <col min="1026" max="1026" width="6.625" style="46" customWidth="1"/>
    <col min="1027" max="1027" width="15" style="46" customWidth="1"/>
    <col min="1028" max="1028" width="20.625" style="46" customWidth="1"/>
    <col min="1029" max="1029" width="29.25" style="46" customWidth="1"/>
    <col min="1030" max="1030" width="44.375" style="46" customWidth="1"/>
    <col min="1031" max="1280" width="9" style="46"/>
    <col min="1281" max="1281" width="9.125" style="46" customWidth="1"/>
    <col min="1282" max="1282" width="6.625" style="46" customWidth="1"/>
    <col min="1283" max="1283" width="15" style="46" customWidth="1"/>
    <col min="1284" max="1284" width="20.625" style="46" customWidth="1"/>
    <col min="1285" max="1285" width="29.25" style="46" customWidth="1"/>
    <col min="1286" max="1286" width="44.375" style="46" customWidth="1"/>
    <col min="1287" max="1536" width="9" style="46"/>
    <col min="1537" max="1537" width="9.125" style="46" customWidth="1"/>
    <col min="1538" max="1538" width="6.625" style="46" customWidth="1"/>
    <col min="1539" max="1539" width="15" style="46" customWidth="1"/>
    <col min="1540" max="1540" width="20.625" style="46" customWidth="1"/>
    <col min="1541" max="1541" width="29.25" style="46" customWidth="1"/>
    <col min="1542" max="1542" width="44.375" style="46" customWidth="1"/>
    <col min="1543" max="1792" width="9" style="46"/>
    <col min="1793" max="1793" width="9.125" style="46" customWidth="1"/>
    <col min="1794" max="1794" width="6.625" style="46" customWidth="1"/>
    <col min="1795" max="1795" width="15" style="46" customWidth="1"/>
    <col min="1796" max="1796" width="20.625" style="46" customWidth="1"/>
    <col min="1797" max="1797" width="29.25" style="46" customWidth="1"/>
    <col min="1798" max="1798" width="44.375" style="46" customWidth="1"/>
    <col min="1799" max="2048" width="9" style="46"/>
    <col min="2049" max="2049" width="9.125" style="46" customWidth="1"/>
    <col min="2050" max="2050" width="6.625" style="46" customWidth="1"/>
    <col min="2051" max="2051" width="15" style="46" customWidth="1"/>
    <col min="2052" max="2052" width="20.625" style="46" customWidth="1"/>
    <col min="2053" max="2053" width="29.25" style="46" customWidth="1"/>
    <col min="2054" max="2054" width="44.375" style="46" customWidth="1"/>
    <col min="2055" max="2304" width="9" style="46"/>
    <col min="2305" max="2305" width="9.125" style="46" customWidth="1"/>
    <col min="2306" max="2306" width="6.625" style="46" customWidth="1"/>
    <col min="2307" max="2307" width="15" style="46" customWidth="1"/>
    <col min="2308" max="2308" width="20.625" style="46" customWidth="1"/>
    <col min="2309" max="2309" width="29.25" style="46" customWidth="1"/>
    <col min="2310" max="2310" width="44.375" style="46" customWidth="1"/>
    <col min="2311" max="2560" width="9" style="46"/>
    <col min="2561" max="2561" width="9.125" style="46" customWidth="1"/>
    <col min="2562" max="2562" width="6.625" style="46" customWidth="1"/>
    <col min="2563" max="2563" width="15" style="46" customWidth="1"/>
    <col min="2564" max="2564" width="20.625" style="46" customWidth="1"/>
    <col min="2565" max="2565" width="29.25" style="46" customWidth="1"/>
    <col min="2566" max="2566" width="44.375" style="46" customWidth="1"/>
    <col min="2567" max="2816" width="9" style="46"/>
    <col min="2817" max="2817" width="9.125" style="46" customWidth="1"/>
    <col min="2818" max="2818" width="6.625" style="46" customWidth="1"/>
    <col min="2819" max="2819" width="15" style="46" customWidth="1"/>
    <col min="2820" max="2820" width="20.625" style="46" customWidth="1"/>
    <col min="2821" max="2821" width="29.25" style="46" customWidth="1"/>
    <col min="2822" max="2822" width="44.375" style="46" customWidth="1"/>
    <col min="2823" max="3072" width="9" style="46"/>
    <col min="3073" max="3073" width="9.125" style="46" customWidth="1"/>
    <col min="3074" max="3074" width="6.625" style="46" customWidth="1"/>
    <col min="3075" max="3075" width="15" style="46" customWidth="1"/>
    <col min="3076" max="3076" width="20.625" style="46" customWidth="1"/>
    <col min="3077" max="3077" width="29.25" style="46" customWidth="1"/>
    <col min="3078" max="3078" width="44.375" style="46" customWidth="1"/>
    <col min="3079" max="3328" width="9" style="46"/>
    <col min="3329" max="3329" width="9.125" style="46" customWidth="1"/>
    <col min="3330" max="3330" width="6.625" style="46" customWidth="1"/>
    <col min="3331" max="3331" width="15" style="46" customWidth="1"/>
    <col min="3332" max="3332" width="20.625" style="46" customWidth="1"/>
    <col min="3333" max="3333" width="29.25" style="46" customWidth="1"/>
    <col min="3334" max="3334" width="44.375" style="46" customWidth="1"/>
    <col min="3335" max="3584" width="9" style="46"/>
    <col min="3585" max="3585" width="9.125" style="46" customWidth="1"/>
    <col min="3586" max="3586" width="6.625" style="46" customWidth="1"/>
    <col min="3587" max="3587" width="15" style="46" customWidth="1"/>
    <col min="3588" max="3588" width="20.625" style="46" customWidth="1"/>
    <col min="3589" max="3589" width="29.25" style="46" customWidth="1"/>
    <col min="3590" max="3590" width="44.375" style="46" customWidth="1"/>
    <col min="3591" max="3840" width="9" style="46"/>
    <col min="3841" max="3841" width="9.125" style="46" customWidth="1"/>
    <col min="3842" max="3842" width="6.625" style="46" customWidth="1"/>
    <col min="3843" max="3843" width="15" style="46" customWidth="1"/>
    <col min="3844" max="3844" width="20.625" style="46" customWidth="1"/>
    <col min="3845" max="3845" width="29.25" style="46" customWidth="1"/>
    <col min="3846" max="3846" width="44.375" style="46" customWidth="1"/>
    <col min="3847" max="4096" width="9" style="46"/>
    <col min="4097" max="4097" width="9.125" style="46" customWidth="1"/>
    <col min="4098" max="4098" width="6.625" style="46" customWidth="1"/>
    <col min="4099" max="4099" width="15" style="46" customWidth="1"/>
    <col min="4100" max="4100" width="20.625" style="46" customWidth="1"/>
    <col min="4101" max="4101" width="29.25" style="46" customWidth="1"/>
    <col min="4102" max="4102" width="44.375" style="46" customWidth="1"/>
    <col min="4103" max="4352" width="9" style="46"/>
    <col min="4353" max="4353" width="9.125" style="46" customWidth="1"/>
    <col min="4354" max="4354" width="6.625" style="46" customWidth="1"/>
    <col min="4355" max="4355" width="15" style="46" customWidth="1"/>
    <col min="4356" max="4356" width="20.625" style="46" customWidth="1"/>
    <col min="4357" max="4357" width="29.25" style="46" customWidth="1"/>
    <col min="4358" max="4358" width="44.375" style="46" customWidth="1"/>
    <col min="4359" max="4608" width="9" style="46"/>
    <col min="4609" max="4609" width="9.125" style="46" customWidth="1"/>
    <col min="4610" max="4610" width="6.625" style="46" customWidth="1"/>
    <col min="4611" max="4611" width="15" style="46" customWidth="1"/>
    <col min="4612" max="4612" width="20.625" style="46" customWidth="1"/>
    <col min="4613" max="4613" width="29.25" style="46" customWidth="1"/>
    <col min="4614" max="4614" width="44.375" style="46" customWidth="1"/>
    <col min="4615" max="4864" width="9" style="46"/>
    <col min="4865" max="4865" width="9.125" style="46" customWidth="1"/>
    <col min="4866" max="4866" width="6.625" style="46" customWidth="1"/>
    <col min="4867" max="4867" width="15" style="46" customWidth="1"/>
    <col min="4868" max="4868" width="20.625" style="46" customWidth="1"/>
    <col min="4869" max="4869" width="29.25" style="46" customWidth="1"/>
    <col min="4870" max="4870" width="44.375" style="46" customWidth="1"/>
    <col min="4871" max="5120" width="9" style="46"/>
    <col min="5121" max="5121" width="9.125" style="46" customWidth="1"/>
    <col min="5122" max="5122" width="6.625" style="46" customWidth="1"/>
    <col min="5123" max="5123" width="15" style="46" customWidth="1"/>
    <col min="5124" max="5124" width="20.625" style="46" customWidth="1"/>
    <col min="5125" max="5125" width="29.25" style="46" customWidth="1"/>
    <col min="5126" max="5126" width="44.375" style="46" customWidth="1"/>
    <col min="5127" max="5376" width="9" style="46"/>
    <col min="5377" max="5377" width="9.125" style="46" customWidth="1"/>
    <col min="5378" max="5378" width="6.625" style="46" customWidth="1"/>
    <col min="5379" max="5379" width="15" style="46" customWidth="1"/>
    <col min="5380" max="5380" width="20.625" style="46" customWidth="1"/>
    <col min="5381" max="5381" width="29.25" style="46" customWidth="1"/>
    <col min="5382" max="5382" width="44.375" style="46" customWidth="1"/>
    <col min="5383" max="5632" width="9" style="46"/>
    <col min="5633" max="5633" width="9.125" style="46" customWidth="1"/>
    <col min="5634" max="5634" width="6.625" style="46" customWidth="1"/>
    <col min="5635" max="5635" width="15" style="46" customWidth="1"/>
    <col min="5636" max="5636" width="20.625" style="46" customWidth="1"/>
    <col min="5637" max="5637" width="29.25" style="46" customWidth="1"/>
    <col min="5638" max="5638" width="44.375" style="46" customWidth="1"/>
    <col min="5639" max="5888" width="9" style="46"/>
    <col min="5889" max="5889" width="9.125" style="46" customWidth="1"/>
    <col min="5890" max="5890" width="6.625" style="46" customWidth="1"/>
    <col min="5891" max="5891" width="15" style="46" customWidth="1"/>
    <col min="5892" max="5892" width="20.625" style="46" customWidth="1"/>
    <col min="5893" max="5893" width="29.25" style="46" customWidth="1"/>
    <col min="5894" max="5894" width="44.375" style="46" customWidth="1"/>
    <col min="5895" max="6144" width="9" style="46"/>
    <col min="6145" max="6145" width="9.125" style="46" customWidth="1"/>
    <col min="6146" max="6146" width="6.625" style="46" customWidth="1"/>
    <col min="6147" max="6147" width="15" style="46" customWidth="1"/>
    <col min="6148" max="6148" width="20.625" style="46" customWidth="1"/>
    <col min="6149" max="6149" width="29.25" style="46" customWidth="1"/>
    <col min="6150" max="6150" width="44.375" style="46" customWidth="1"/>
    <col min="6151" max="6400" width="9" style="46"/>
    <col min="6401" max="6401" width="9.125" style="46" customWidth="1"/>
    <col min="6402" max="6402" width="6.625" style="46" customWidth="1"/>
    <col min="6403" max="6403" width="15" style="46" customWidth="1"/>
    <col min="6404" max="6404" width="20.625" style="46" customWidth="1"/>
    <col min="6405" max="6405" width="29.25" style="46" customWidth="1"/>
    <col min="6406" max="6406" width="44.375" style="46" customWidth="1"/>
    <col min="6407" max="6656" width="9" style="46"/>
    <col min="6657" max="6657" width="9.125" style="46" customWidth="1"/>
    <col min="6658" max="6658" width="6.625" style="46" customWidth="1"/>
    <col min="6659" max="6659" width="15" style="46" customWidth="1"/>
    <col min="6660" max="6660" width="20.625" style="46" customWidth="1"/>
    <col min="6661" max="6661" width="29.25" style="46" customWidth="1"/>
    <col min="6662" max="6662" width="44.375" style="46" customWidth="1"/>
    <col min="6663" max="6912" width="9" style="46"/>
    <col min="6913" max="6913" width="9.125" style="46" customWidth="1"/>
    <col min="6914" max="6914" width="6.625" style="46" customWidth="1"/>
    <col min="6915" max="6915" width="15" style="46" customWidth="1"/>
    <col min="6916" max="6916" width="20.625" style="46" customWidth="1"/>
    <col min="6917" max="6917" width="29.25" style="46" customWidth="1"/>
    <col min="6918" max="6918" width="44.375" style="46" customWidth="1"/>
    <col min="6919" max="7168" width="9" style="46"/>
    <col min="7169" max="7169" width="9.125" style="46" customWidth="1"/>
    <col min="7170" max="7170" width="6.625" style="46" customWidth="1"/>
    <col min="7171" max="7171" width="15" style="46" customWidth="1"/>
    <col min="7172" max="7172" width="20.625" style="46" customWidth="1"/>
    <col min="7173" max="7173" width="29.25" style="46" customWidth="1"/>
    <col min="7174" max="7174" width="44.375" style="46" customWidth="1"/>
    <col min="7175" max="7424" width="9" style="46"/>
    <col min="7425" max="7425" width="9.125" style="46" customWidth="1"/>
    <col min="7426" max="7426" width="6.625" style="46" customWidth="1"/>
    <col min="7427" max="7427" width="15" style="46" customWidth="1"/>
    <col min="7428" max="7428" width="20.625" style="46" customWidth="1"/>
    <col min="7429" max="7429" width="29.25" style="46" customWidth="1"/>
    <col min="7430" max="7430" width="44.375" style="46" customWidth="1"/>
    <col min="7431" max="7680" width="9" style="46"/>
    <col min="7681" max="7681" width="9.125" style="46" customWidth="1"/>
    <col min="7682" max="7682" width="6.625" style="46" customWidth="1"/>
    <col min="7683" max="7683" width="15" style="46" customWidth="1"/>
    <col min="7684" max="7684" width="20.625" style="46" customWidth="1"/>
    <col min="7685" max="7685" width="29.25" style="46" customWidth="1"/>
    <col min="7686" max="7686" width="44.375" style="46" customWidth="1"/>
    <col min="7687" max="7936" width="9" style="46"/>
    <col min="7937" max="7937" width="9.125" style="46" customWidth="1"/>
    <col min="7938" max="7938" width="6.625" style="46" customWidth="1"/>
    <col min="7939" max="7939" width="15" style="46" customWidth="1"/>
    <col min="7940" max="7940" width="20.625" style="46" customWidth="1"/>
    <col min="7941" max="7941" width="29.25" style="46" customWidth="1"/>
    <col min="7942" max="7942" width="44.375" style="46" customWidth="1"/>
    <col min="7943" max="8192" width="9" style="46"/>
    <col min="8193" max="8193" width="9.125" style="46" customWidth="1"/>
    <col min="8194" max="8194" width="6.625" style="46" customWidth="1"/>
    <col min="8195" max="8195" width="15" style="46" customWidth="1"/>
    <col min="8196" max="8196" width="20.625" style="46" customWidth="1"/>
    <col min="8197" max="8197" width="29.25" style="46" customWidth="1"/>
    <col min="8198" max="8198" width="44.375" style="46" customWidth="1"/>
    <col min="8199" max="8448" width="9" style="46"/>
    <col min="8449" max="8449" width="9.125" style="46" customWidth="1"/>
    <col min="8450" max="8450" width="6.625" style="46" customWidth="1"/>
    <col min="8451" max="8451" width="15" style="46" customWidth="1"/>
    <col min="8452" max="8452" width="20.625" style="46" customWidth="1"/>
    <col min="8453" max="8453" width="29.25" style="46" customWidth="1"/>
    <col min="8454" max="8454" width="44.375" style="46" customWidth="1"/>
    <col min="8455" max="8704" width="9" style="46"/>
    <col min="8705" max="8705" width="9.125" style="46" customWidth="1"/>
    <col min="8706" max="8706" width="6.625" style="46" customWidth="1"/>
    <col min="8707" max="8707" width="15" style="46" customWidth="1"/>
    <col min="8708" max="8708" width="20.625" style="46" customWidth="1"/>
    <col min="8709" max="8709" width="29.25" style="46" customWidth="1"/>
    <col min="8710" max="8710" width="44.375" style="46" customWidth="1"/>
    <col min="8711" max="8960" width="9" style="46"/>
    <col min="8961" max="8961" width="9.125" style="46" customWidth="1"/>
    <col min="8962" max="8962" width="6.625" style="46" customWidth="1"/>
    <col min="8963" max="8963" width="15" style="46" customWidth="1"/>
    <col min="8964" max="8964" width="20.625" style="46" customWidth="1"/>
    <col min="8965" max="8965" width="29.25" style="46" customWidth="1"/>
    <col min="8966" max="8966" width="44.375" style="46" customWidth="1"/>
    <col min="8967" max="9216" width="9" style="46"/>
    <col min="9217" max="9217" width="9.125" style="46" customWidth="1"/>
    <col min="9218" max="9218" width="6.625" style="46" customWidth="1"/>
    <col min="9219" max="9219" width="15" style="46" customWidth="1"/>
    <col min="9220" max="9220" width="20.625" style="46" customWidth="1"/>
    <col min="9221" max="9221" width="29.25" style="46" customWidth="1"/>
    <col min="9222" max="9222" width="44.375" style="46" customWidth="1"/>
    <col min="9223" max="9472" width="9" style="46"/>
    <col min="9473" max="9473" width="9.125" style="46" customWidth="1"/>
    <col min="9474" max="9474" width="6.625" style="46" customWidth="1"/>
    <col min="9475" max="9475" width="15" style="46" customWidth="1"/>
    <col min="9476" max="9476" width="20.625" style="46" customWidth="1"/>
    <col min="9477" max="9477" width="29.25" style="46" customWidth="1"/>
    <col min="9478" max="9478" width="44.375" style="46" customWidth="1"/>
    <col min="9479" max="9728" width="9" style="46"/>
    <col min="9729" max="9729" width="9.125" style="46" customWidth="1"/>
    <col min="9730" max="9730" width="6.625" style="46" customWidth="1"/>
    <col min="9731" max="9731" width="15" style="46" customWidth="1"/>
    <col min="9732" max="9732" width="20.625" style="46" customWidth="1"/>
    <col min="9733" max="9733" width="29.25" style="46" customWidth="1"/>
    <col min="9734" max="9734" width="44.375" style="46" customWidth="1"/>
    <col min="9735" max="9984" width="9" style="46"/>
    <col min="9985" max="9985" width="9.125" style="46" customWidth="1"/>
    <col min="9986" max="9986" width="6.625" style="46" customWidth="1"/>
    <col min="9987" max="9987" width="15" style="46" customWidth="1"/>
    <col min="9988" max="9988" width="20.625" style="46" customWidth="1"/>
    <col min="9989" max="9989" width="29.25" style="46" customWidth="1"/>
    <col min="9990" max="9990" width="44.375" style="46" customWidth="1"/>
    <col min="9991" max="10240" width="9" style="46"/>
    <col min="10241" max="10241" width="9.125" style="46" customWidth="1"/>
    <col min="10242" max="10242" width="6.625" style="46" customWidth="1"/>
    <col min="10243" max="10243" width="15" style="46" customWidth="1"/>
    <col min="10244" max="10244" width="20.625" style="46" customWidth="1"/>
    <col min="10245" max="10245" width="29.25" style="46" customWidth="1"/>
    <col min="10246" max="10246" width="44.375" style="46" customWidth="1"/>
    <col min="10247" max="10496" width="9" style="46"/>
    <col min="10497" max="10497" width="9.125" style="46" customWidth="1"/>
    <col min="10498" max="10498" width="6.625" style="46" customWidth="1"/>
    <col min="10499" max="10499" width="15" style="46" customWidth="1"/>
    <col min="10500" max="10500" width="20.625" style="46" customWidth="1"/>
    <col min="10501" max="10501" width="29.25" style="46" customWidth="1"/>
    <col min="10502" max="10502" width="44.375" style="46" customWidth="1"/>
    <col min="10503" max="10752" width="9" style="46"/>
    <col min="10753" max="10753" width="9.125" style="46" customWidth="1"/>
    <col min="10754" max="10754" width="6.625" style="46" customWidth="1"/>
    <col min="10755" max="10755" width="15" style="46" customWidth="1"/>
    <col min="10756" max="10756" width="20.625" style="46" customWidth="1"/>
    <col min="10757" max="10757" width="29.25" style="46" customWidth="1"/>
    <col min="10758" max="10758" width="44.375" style="46" customWidth="1"/>
    <col min="10759" max="11008" width="9" style="46"/>
    <col min="11009" max="11009" width="9.125" style="46" customWidth="1"/>
    <col min="11010" max="11010" width="6.625" style="46" customWidth="1"/>
    <col min="11011" max="11011" width="15" style="46" customWidth="1"/>
    <col min="11012" max="11012" width="20.625" style="46" customWidth="1"/>
    <col min="11013" max="11013" width="29.25" style="46" customWidth="1"/>
    <col min="11014" max="11014" width="44.375" style="46" customWidth="1"/>
    <col min="11015" max="11264" width="9" style="46"/>
    <col min="11265" max="11265" width="9.125" style="46" customWidth="1"/>
    <col min="11266" max="11266" width="6.625" style="46" customWidth="1"/>
    <col min="11267" max="11267" width="15" style="46" customWidth="1"/>
    <col min="11268" max="11268" width="20.625" style="46" customWidth="1"/>
    <col min="11269" max="11269" width="29.25" style="46" customWidth="1"/>
    <col min="11270" max="11270" width="44.375" style="46" customWidth="1"/>
    <col min="11271" max="11520" width="9" style="46"/>
    <col min="11521" max="11521" width="9.125" style="46" customWidth="1"/>
    <col min="11522" max="11522" width="6.625" style="46" customWidth="1"/>
    <col min="11523" max="11523" width="15" style="46" customWidth="1"/>
    <col min="11524" max="11524" width="20.625" style="46" customWidth="1"/>
    <col min="11525" max="11525" width="29.25" style="46" customWidth="1"/>
    <col min="11526" max="11526" width="44.375" style="46" customWidth="1"/>
    <col min="11527" max="11776" width="9" style="46"/>
    <col min="11777" max="11777" width="9.125" style="46" customWidth="1"/>
    <col min="11778" max="11778" width="6.625" style="46" customWidth="1"/>
    <col min="11779" max="11779" width="15" style="46" customWidth="1"/>
    <col min="11780" max="11780" width="20.625" style="46" customWidth="1"/>
    <col min="11781" max="11781" width="29.25" style="46" customWidth="1"/>
    <col min="11782" max="11782" width="44.375" style="46" customWidth="1"/>
    <col min="11783" max="12032" width="9" style="46"/>
    <col min="12033" max="12033" width="9.125" style="46" customWidth="1"/>
    <col min="12034" max="12034" width="6.625" style="46" customWidth="1"/>
    <col min="12035" max="12035" width="15" style="46" customWidth="1"/>
    <col min="12036" max="12036" width="20.625" style="46" customWidth="1"/>
    <col min="12037" max="12037" width="29.25" style="46" customWidth="1"/>
    <col min="12038" max="12038" width="44.375" style="46" customWidth="1"/>
    <col min="12039" max="12288" width="9" style="46"/>
    <col min="12289" max="12289" width="9.125" style="46" customWidth="1"/>
    <col min="12290" max="12290" width="6.625" style="46" customWidth="1"/>
    <col min="12291" max="12291" width="15" style="46" customWidth="1"/>
    <col min="12292" max="12292" width="20.625" style="46" customWidth="1"/>
    <col min="12293" max="12293" width="29.25" style="46" customWidth="1"/>
    <col min="12294" max="12294" width="44.375" style="46" customWidth="1"/>
    <col min="12295" max="12544" width="9" style="46"/>
    <col min="12545" max="12545" width="9.125" style="46" customWidth="1"/>
    <col min="12546" max="12546" width="6.625" style="46" customWidth="1"/>
    <col min="12547" max="12547" width="15" style="46" customWidth="1"/>
    <col min="12548" max="12548" width="20.625" style="46" customWidth="1"/>
    <col min="12549" max="12549" width="29.25" style="46" customWidth="1"/>
    <col min="12550" max="12550" width="44.375" style="46" customWidth="1"/>
    <col min="12551" max="12800" width="9" style="46"/>
    <col min="12801" max="12801" width="9.125" style="46" customWidth="1"/>
    <col min="12802" max="12802" width="6.625" style="46" customWidth="1"/>
    <col min="12803" max="12803" width="15" style="46" customWidth="1"/>
    <col min="12804" max="12804" width="20.625" style="46" customWidth="1"/>
    <col min="12805" max="12805" width="29.25" style="46" customWidth="1"/>
    <col min="12806" max="12806" width="44.375" style="46" customWidth="1"/>
    <col min="12807" max="13056" width="9" style="46"/>
    <col min="13057" max="13057" width="9.125" style="46" customWidth="1"/>
    <col min="13058" max="13058" width="6.625" style="46" customWidth="1"/>
    <col min="13059" max="13059" width="15" style="46" customWidth="1"/>
    <col min="13060" max="13060" width="20.625" style="46" customWidth="1"/>
    <col min="13061" max="13061" width="29.25" style="46" customWidth="1"/>
    <col min="13062" max="13062" width="44.375" style="46" customWidth="1"/>
    <col min="13063" max="13312" width="9" style="46"/>
    <col min="13313" max="13313" width="9.125" style="46" customWidth="1"/>
    <col min="13314" max="13314" width="6.625" style="46" customWidth="1"/>
    <col min="13315" max="13315" width="15" style="46" customWidth="1"/>
    <col min="13316" max="13316" width="20.625" style="46" customWidth="1"/>
    <col min="13317" max="13317" width="29.25" style="46" customWidth="1"/>
    <col min="13318" max="13318" width="44.375" style="46" customWidth="1"/>
    <col min="13319" max="13568" width="9" style="46"/>
    <col min="13569" max="13569" width="9.125" style="46" customWidth="1"/>
    <col min="13570" max="13570" width="6.625" style="46" customWidth="1"/>
    <col min="13571" max="13571" width="15" style="46" customWidth="1"/>
    <col min="13572" max="13572" width="20.625" style="46" customWidth="1"/>
    <col min="13573" max="13573" width="29.25" style="46" customWidth="1"/>
    <col min="13574" max="13574" width="44.375" style="46" customWidth="1"/>
    <col min="13575" max="13824" width="9" style="46"/>
    <col min="13825" max="13825" width="9.125" style="46" customWidth="1"/>
    <col min="13826" max="13826" width="6.625" style="46" customWidth="1"/>
    <col min="13827" max="13827" width="15" style="46" customWidth="1"/>
    <col min="13828" max="13828" width="20.625" style="46" customWidth="1"/>
    <col min="13829" max="13829" width="29.25" style="46" customWidth="1"/>
    <col min="13830" max="13830" width="44.375" style="46" customWidth="1"/>
    <col min="13831" max="14080" width="9" style="46"/>
    <col min="14081" max="14081" width="9.125" style="46" customWidth="1"/>
    <col min="14082" max="14082" width="6.625" style="46" customWidth="1"/>
    <col min="14083" max="14083" width="15" style="46" customWidth="1"/>
    <col min="14084" max="14084" width="20.625" style="46" customWidth="1"/>
    <col min="14085" max="14085" width="29.25" style="46" customWidth="1"/>
    <col min="14086" max="14086" width="44.375" style="46" customWidth="1"/>
    <col min="14087" max="14336" width="9" style="46"/>
    <col min="14337" max="14337" width="9.125" style="46" customWidth="1"/>
    <col min="14338" max="14338" width="6.625" style="46" customWidth="1"/>
    <col min="14339" max="14339" width="15" style="46" customWidth="1"/>
    <col min="14340" max="14340" width="20.625" style="46" customWidth="1"/>
    <col min="14341" max="14341" width="29.25" style="46" customWidth="1"/>
    <col min="14342" max="14342" width="44.375" style="46" customWidth="1"/>
    <col min="14343" max="14592" width="9" style="46"/>
    <col min="14593" max="14593" width="9.125" style="46" customWidth="1"/>
    <col min="14594" max="14594" width="6.625" style="46" customWidth="1"/>
    <col min="14595" max="14595" width="15" style="46" customWidth="1"/>
    <col min="14596" max="14596" width="20.625" style="46" customWidth="1"/>
    <col min="14597" max="14597" width="29.25" style="46" customWidth="1"/>
    <col min="14598" max="14598" width="44.375" style="46" customWidth="1"/>
    <col min="14599" max="14848" width="9" style="46"/>
    <col min="14849" max="14849" width="9.125" style="46" customWidth="1"/>
    <col min="14850" max="14850" width="6.625" style="46" customWidth="1"/>
    <col min="14851" max="14851" width="15" style="46" customWidth="1"/>
    <col min="14852" max="14852" width="20.625" style="46" customWidth="1"/>
    <col min="14853" max="14853" width="29.25" style="46" customWidth="1"/>
    <col min="14854" max="14854" width="44.375" style="46" customWidth="1"/>
    <col min="14855" max="15104" width="9" style="46"/>
    <col min="15105" max="15105" width="9.125" style="46" customWidth="1"/>
    <col min="15106" max="15106" width="6.625" style="46" customWidth="1"/>
    <col min="15107" max="15107" width="15" style="46" customWidth="1"/>
    <col min="15108" max="15108" width="20.625" style="46" customWidth="1"/>
    <col min="15109" max="15109" width="29.25" style="46" customWidth="1"/>
    <col min="15110" max="15110" width="44.375" style="46" customWidth="1"/>
    <col min="15111" max="15360" width="9" style="46"/>
    <col min="15361" max="15361" width="9.125" style="46" customWidth="1"/>
    <col min="15362" max="15362" width="6.625" style="46" customWidth="1"/>
    <col min="15363" max="15363" width="15" style="46" customWidth="1"/>
    <col min="15364" max="15364" width="20.625" style="46" customWidth="1"/>
    <col min="15365" max="15365" width="29.25" style="46" customWidth="1"/>
    <col min="15366" max="15366" width="44.375" style="46" customWidth="1"/>
    <col min="15367" max="15616" width="9" style="46"/>
    <col min="15617" max="15617" width="9.125" style="46" customWidth="1"/>
    <col min="15618" max="15618" width="6.625" style="46" customWidth="1"/>
    <col min="15619" max="15619" width="15" style="46" customWidth="1"/>
    <col min="15620" max="15620" width="20.625" style="46" customWidth="1"/>
    <col min="15621" max="15621" width="29.25" style="46" customWidth="1"/>
    <col min="15622" max="15622" width="44.375" style="46" customWidth="1"/>
    <col min="15623" max="15872" width="9" style="46"/>
    <col min="15873" max="15873" width="9.125" style="46" customWidth="1"/>
    <col min="15874" max="15874" width="6.625" style="46" customWidth="1"/>
    <col min="15875" max="15875" width="15" style="46" customWidth="1"/>
    <col min="15876" max="15876" width="20.625" style="46" customWidth="1"/>
    <col min="15877" max="15877" width="29.25" style="46" customWidth="1"/>
    <col min="15878" max="15878" width="44.375" style="46" customWidth="1"/>
    <col min="15879" max="16128" width="9" style="46"/>
    <col min="16129" max="16129" width="9.125" style="46" customWidth="1"/>
    <col min="16130" max="16130" width="6.625" style="46" customWidth="1"/>
    <col min="16131" max="16131" width="15" style="46" customWidth="1"/>
    <col min="16132" max="16132" width="20.625" style="46" customWidth="1"/>
    <col min="16133" max="16133" width="29.25" style="46" customWidth="1"/>
    <col min="16134" max="16134" width="44.375" style="46" customWidth="1"/>
    <col min="16135" max="16384" width="9" style="46"/>
  </cols>
  <sheetData>
    <row r="1" spans="1:7">
      <c r="A1" s="46" t="s">
        <v>66</v>
      </c>
    </row>
    <row r="2" spans="1:7" s="54" customFormat="1" ht="27.75" customHeight="1">
      <c r="A2" s="48" t="s">
        <v>67</v>
      </c>
      <c r="B2" s="49" t="s">
        <v>68</v>
      </c>
      <c r="C2" s="50" t="s">
        <v>69</v>
      </c>
      <c r="D2" s="51" t="s">
        <v>70</v>
      </c>
      <c r="E2" s="52" t="s">
        <v>71</v>
      </c>
      <c r="F2" s="52" t="s">
        <v>72</v>
      </c>
      <c r="G2" s="53" t="s">
        <v>73</v>
      </c>
    </row>
    <row r="3" spans="1:7" ht="13.5" customHeight="1">
      <c r="A3" s="55">
        <v>43836</v>
      </c>
      <c r="B3" s="56" t="s">
        <v>74</v>
      </c>
      <c r="C3" s="57"/>
      <c r="D3" s="58" t="s">
        <v>77</v>
      </c>
      <c r="E3" s="59" t="s">
        <v>47</v>
      </c>
      <c r="F3" s="60" t="s">
        <v>75</v>
      </c>
      <c r="G3" s="61" t="s">
        <v>76</v>
      </c>
    </row>
    <row r="4" spans="1:7" ht="13.5" customHeight="1">
      <c r="A4" s="62"/>
      <c r="B4" s="63"/>
      <c r="C4" s="64"/>
      <c r="D4" s="65"/>
      <c r="E4" s="66"/>
      <c r="F4" s="66"/>
      <c r="G4" s="67"/>
    </row>
    <row r="5" spans="1:7" ht="13.5" customHeight="1">
      <c r="A5" s="62"/>
      <c r="B5" s="63"/>
      <c r="C5" s="64"/>
      <c r="D5" s="65"/>
      <c r="E5" s="66"/>
      <c r="F5" s="66"/>
      <c r="G5" s="67"/>
    </row>
    <row r="6" spans="1:7" ht="13.5" customHeight="1">
      <c r="A6" s="62"/>
      <c r="B6" s="63"/>
      <c r="C6" s="64"/>
      <c r="D6" s="65"/>
      <c r="E6" s="66"/>
      <c r="F6" s="66"/>
      <c r="G6" s="67"/>
    </row>
    <row r="7" spans="1:7" ht="13.5" customHeight="1">
      <c r="A7" s="62"/>
      <c r="B7" s="63"/>
      <c r="C7" s="64"/>
      <c r="D7" s="65"/>
      <c r="E7" s="66"/>
      <c r="F7" s="66"/>
      <c r="G7" s="67"/>
    </row>
    <row r="8" spans="1:7" ht="13.5" customHeight="1">
      <c r="A8" s="62"/>
      <c r="B8" s="63"/>
      <c r="C8" s="64"/>
      <c r="D8" s="65"/>
      <c r="E8" s="66"/>
      <c r="F8" s="66"/>
      <c r="G8" s="67"/>
    </row>
    <row r="9" spans="1:7" s="68" customFormat="1">
      <c r="A9" s="62"/>
      <c r="B9" s="63"/>
      <c r="C9" s="64"/>
      <c r="D9" s="65"/>
      <c r="E9" s="66"/>
      <c r="F9" s="66"/>
      <c r="G9" s="67"/>
    </row>
    <row r="10" spans="1:7" ht="13.5" customHeight="1">
      <c r="A10" s="69"/>
      <c r="B10" s="70"/>
      <c r="C10" s="71"/>
      <c r="D10" s="72"/>
      <c r="E10" s="73"/>
      <c r="F10" s="73"/>
      <c r="G10" s="74"/>
    </row>
    <row r="11" spans="1:7" ht="13.5" customHeight="1">
      <c r="A11" s="69"/>
      <c r="B11" s="70"/>
      <c r="C11" s="71"/>
      <c r="D11" s="72"/>
      <c r="E11" s="73"/>
      <c r="F11" s="73"/>
      <c r="G11" s="74"/>
    </row>
    <row r="12" spans="1:7" ht="13.5" customHeight="1">
      <c r="A12" s="69"/>
      <c r="B12" s="70"/>
      <c r="C12" s="71"/>
      <c r="D12" s="75"/>
      <c r="E12" s="73"/>
      <c r="F12" s="73"/>
      <c r="G12" s="74"/>
    </row>
    <row r="13" spans="1:7" ht="13.5" customHeight="1">
      <c r="A13" s="69"/>
      <c r="B13" s="70"/>
      <c r="C13" s="71"/>
      <c r="D13" s="75"/>
      <c r="E13" s="73"/>
      <c r="F13" s="73"/>
      <c r="G13" s="76"/>
    </row>
    <row r="14" spans="1:7" ht="13.5" customHeight="1">
      <c r="A14" s="77"/>
      <c r="B14" s="78"/>
      <c r="C14" s="79"/>
      <c r="D14" s="80"/>
      <c r="E14" s="81"/>
      <c r="F14" s="82"/>
      <c r="G14" s="83"/>
    </row>
    <row r="15" spans="1:7" ht="13.5" customHeight="1">
      <c r="A15" s="77"/>
      <c r="B15" s="78"/>
      <c r="C15" s="79"/>
      <c r="D15" s="80"/>
      <c r="E15" s="81"/>
      <c r="F15" s="82"/>
      <c r="G15" s="83"/>
    </row>
    <row r="16" spans="1:7" ht="13.5" customHeight="1">
      <c r="A16" s="69"/>
      <c r="B16" s="70"/>
      <c r="C16" s="84"/>
      <c r="D16" s="85"/>
      <c r="E16" s="73"/>
      <c r="F16" s="73"/>
      <c r="G16" s="74"/>
    </row>
    <row r="17" spans="1:7" ht="13.5" customHeight="1">
      <c r="A17" s="69"/>
      <c r="B17" s="70"/>
      <c r="C17" s="84"/>
      <c r="D17" s="85"/>
      <c r="E17" s="73"/>
      <c r="F17" s="73"/>
      <c r="G17" s="74"/>
    </row>
    <row r="18" spans="1:7" ht="13.5" customHeight="1">
      <c r="A18" s="69"/>
      <c r="B18" s="70"/>
      <c r="C18" s="84"/>
      <c r="D18" s="85"/>
      <c r="E18" s="73"/>
      <c r="F18" s="73"/>
      <c r="G18" s="74"/>
    </row>
    <row r="19" spans="1:7" ht="13.5" customHeight="1">
      <c r="A19" s="69"/>
      <c r="B19" s="70"/>
      <c r="C19" s="84"/>
      <c r="D19" s="85"/>
      <c r="E19" s="73"/>
      <c r="F19" s="73"/>
      <c r="G19" s="74"/>
    </row>
    <row r="20" spans="1:7" ht="13.5" customHeight="1">
      <c r="A20" s="69"/>
      <c r="B20" s="70"/>
      <c r="C20" s="84"/>
      <c r="D20" s="85"/>
      <c r="E20" s="73"/>
      <c r="F20" s="73"/>
      <c r="G20" s="74"/>
    </row>
    <row r="21" spans="1:7" ht="13.5" customHeight="1">
      <c r="A21" s="69"/>
      <c r="B21" s="70"/>
      <c r="C21" s="84"/>
      <c r="D21" s="85"/>
      <c r="E21" s="73"/>
      <c r="F21" s="73"/>
      <c r="G21" s="74"/>
    </row>
    <row r="22" spans="1:7" ht="13.5" customHeight="1">
      <c r="A22" s="69"/>
      <c r="B22" s="70"/>
      <c r="C22" s="84"/>
      <c r="D22" s="85"/>
      <c r="E22" s="73"/>
      <c r="F22" s="73"/>
      <c r="G22" s="74"/>
    </row>
    <row r="23" spans="1:7" ht="13.5" customHeight="1">
      <c r="A23" s="69"/>
      <c r="B23" s="70"/>
      <c r="C23" s="84"/>
      <c r="D23" s="85"/>
      <c r="E23" s="73"/>
      <c r="F23" s="73"/>
      <c r="G23" s="74"/>
    </row>
    <row r="24" spans="1:7" ht="13.5" customHeight="1">
      <c r="A24" s="69"/>
      <c r="B24" s="70"/>
      <c r="C24" s="84"/>
      <c r="D24" s="85"/>
      <c r="E24" s="73"/>
      <c r="F24" s="73"/>
      <c r="G24" s="74"/>
    </row>
    <row r="25" spans="1:7" ht="13.5" customHeight="1">
      <c r="A25" s="69"/>
      <c r="B25" s="70"/>
      <c r="C25" s="84"/>
      <c r="D25" s="85"/>
      <c r="E25" s="73"/>
      <c r="F25" s="73"/>
      <c r="G25" s="74"/>
    </row>
    <row r="26" spans="1:7" ht="13.5" customHeight="1">
      <c r="A26" s="69"/>
      <c r="B26" s="70"/>
      <c r="C26" s="84"/>
      <c r="D26" s="85"/>
      <c r="E26" s="73"/>
      <c r="F26" s="73"/>
      <c r="G26" s="74"/>
    </row>
    <row r="27" spans="1:7" ht="13.5" customHeight="1">
      <c r="A27" s="69"/>
      <c r="B27" s="70"/>
      <c r="C27" s="84"/>
      <c r="D27" s="85"/>
      <c r="E27" s="73"/>
      <c r="F27" s="73"/>
      <c r="G27" s="74"/>
    </row>
    <row r="28" spans="1:7" ht="13.5" customHeight="1">
      <c r="A28" s="69"/>
      <c r="B28" s="70"/>
      <c r="C28" s="84"/>
      <c r="D28" s="85"/>
      <c r="E28" s="73"/>
      <c r="F28" s="73"/>
      <c r="G28" s="74"/>
    </row>
    <row r="29" spans="1:7" ht="13.5" customHeight="1">
      <c r="A29" s="69"/>
      <c r="B29" s="70"/>
      <c r="C29" s="84"/>
      <c r="D29" s="85"/>
      <c r="E29" s="73"/>
      <c r="F29" s="73"/>
      <c r="G29" s="74"/>
    </row>
    <row r="30" spans="1:7" ht="13.5" customHeight="1">
      <c r="A30" s="69"/>
      <c r="B30" s="70"/>
      <c r="C30" s="84"/>
      <c r="D30" s="85"/>
      <c r="E30" s="73"/>
      <c r="F30" s="73"/>
      <c r="G30" s="74"/>
    </row>
    <row r="31" spans="1:7" ht="13.5" customHeight="1">
      <c r="A31" s="86"/>
      <c r="B31" s="87"/>
      <c r="C31" s="88"/>
      <c r="D31" s="89"/>
      <c r="E31" s="90"/>
      <c r="F31" s="90"/>
      <c r="G31" s="91"/>
    </row>
  </sheetData>
  <phoneticPr fontId="2"/>
  <pageMargins left="0.78740157480314965" right="0.78740157480314965" top="0.98425196850393704" bottom="0.98425196850393704" header="0.51181102362204722" footer="0.51181102362204722"/>
  <pageSetup paperSize="9" scale="9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0AAD3-5693-4E02-B180-8F79A78F845F}">
  <sheetPr codeName="Sheet1"/>
  <dimension ref="A1:I25"/>
  <sheetViews>
    <sheetView workbookViewId="0"/>
  </sheetViews>
  <sheetFormatPr defaultRowHeight="13.5"/>
  <cols>
    <col min="2" max="2" width="4.125" bestFit="1" customWidth="1"/>
  </cols>
  <sheetData>
    <row r="1" spans="1:9" ht="17.25">
      <c r="B1" s="93" t="s">
        <v>89</v>
      </c>
      <c r="C1" s="94"/>
      <c r="D1" s="94"/>
      <c r="E1" s="94"/>
      <c r="F1" s="94"/>
      <c r="G1" s="94"/>
      <c r="H1" s="94"/>
      <c r="I1" s="94"/>
    </row>
    <row r="2" spans="1:9">
      <c r="B2" s="94" t="s">
        <v>79</v>
      </c>
      <c r="C2" s="94" t="s">
        <v>83</v>
      </c>
      <c r="D2" s="94"/>
      <c r="E2" s="94"/>
      <c r="F2" s="94"/>
      <c r="G2" s="94"/>
      <c r="H2" s="94"/>
      <c r="I2" s="94"/>
    </row>
    <row r="3" spans="1:9">
      <c r="B3" s="94" t="s">
        <v>80</v>
      </c>
      <c r="C3" s="94" t="s">
        <v>92</v>
      </c>
      <c r="D3" s="94"/>
      <c r="E3" s="94"/>
      <c r="F3" s="94"/>
      <c r="G3" s="94"/>
      <c r="H3" s="94"/>
      <c r="I3" s="94"/>
    </row>
    <row r="4" spans="1:9">
      <c r="B4" s="94"/>
      <c r="C4" s="94"/>
      <c r="D4" s="94"/>
      <c r="E4" s="94"/>
      <c r="F4" s="94"/>
      <c r="G4" s="94"/>
      <c r="H4" s="94"/>
      <c r="I4" s="94"/>
    </row>
    <row r="5" spans="1:9" ht="17.25">
      <c r="B5" s="93" t="s">
        <v>78</v>
      </c>
      <c r="C5" s="94"/>
      <c r="D5" s="94"/>
      <c r="E5" s="94"/>
      <c r="F5" s="94"/>
      <c r="G5" s="94"/>
      <c r="H5" s="94"/>
      <c r="I5" s="94"/>
    </row>
    <row r="6" spans="1:9">
      <c r="B6" s="94" t="s">
        <v>79</v>
      </c>
      <c r="C6" s="94" t="s">
        <v>132</v>
      </c>
      <c r="D6" s="94"/>
      <c r="E6" s="94"/>
      <c r="F6" s="94"/>
      <c r="G6" s="94"/>
      <c r="H6" s="94"/>
      <c r="I6" s="94"/>
    </row>
    <row r="7" spans="1:9">
      <c r="B7" s="94" t="s">
        <v>80</v>
      </c>
      <c r="C7" s="94" t="s">
        <v>134</v>
      </c>
      <c r="D7" s="94"/>
      <c r="E7" s="94"/>
      <c r="F7" s="94"/>
      <c r="G7" s="94"/>
      <c r="H7" s="94"/>
      <c r="I7" s="94"/>
    </row>
    <row r="8" spans="1:9">
      <c r="B8" s="94" t="s">
        <v>133</v>
      </c>
      <c r="C8" s="104" t="s">
        <v>81</v>
      </c>
      <c r="D8" s="104"/>
      <c r="E8" s="104"/>
      <c r="F8" s="104"/>
      <c r="G8" s="104"/>
      <c r="H8" s="104"/>
      <c r="I8" s="94"/>
    </row>
    <row r="9" spans="1:9">
      <c r="B9" s="94" t="s">
        <v>82</v>
      </c>
      <c r="C9" s="94" t="s">
        <v>90</v>
      </c>
      <c r="D9" s="94"/>
      <c r="E9" s="94"/>
      <c r="F9" s="94"/>
      <c r="G9" s="94"/>
      <c r="H9" s="94"/>
      <c r="I9" s="94"/>
    </row>
    <row r="10" spans="1:9">
      <c r="B10" s="94" t="s">
        <v>85</v>
      </c>
      <c r="C10" s="94" t="s">
        <v>135</v>
      </c>
      <c r="D10" s="94"/>
      <c r="E10" s="94"/>
      <c r="F10" s="94"/>
      <c r="G10" s="94"/>
      <c r="H10" s="94"/>
      <c r="I10" s="94"/>
    </row>
    <row r="11" spans="1:9">
      <c r="B11" s="94"/>
      <c r="C11" s="104"/>
      <c r="D11" s="104"/>
      <c r="E11" s="104"/>
      <c r="F11" s="104"/>
      <c r="G11" s="104"/>
      <c r="H11" s="104"/>
      <c r="I11" s="94"/>
    </row>
    <row r="12" spans="1:9">
      <c r="A12" t="s">
        <v>84</v>
      </c>
      <c r="B12" s="94"/>
      <c r="C12" s="94"/>
      <c r="D12" s="94"/>
      <c r="E12" s="94"/>
      <c r="F12" s="94"/>
      <c r="G12" s="94"/>
      <c r="H12" s="94"/>
      <c r="I12" s="94"/>
    </row>
    <row r="13" spans="1:9" ht="17.25">
      <c r="B13" s="93" t="s">
        <v>88</v>
      </c>
      <c r="C13" s="94"/>
      <c r="D13" s="94"/>
      <c r="E13" s="94"/>
      <c r="F13" s="94"/>
      <c r="G13" s="94"/>
      <c r="H13" s="94"/>
      <c r="I13" s="94"/>
    </row>
    <row r="14" spans="1:9">
      <c r="B14" s="94" t="s">
        <v>79</v>
      </c>
      <c r="C14" s="94" t="s">
        <v>86</v>
      </c>
      <c r="D14" s="94"/>
      <c r="E14" s="94"/>
      <c r="F14" s="94"/>
      <c r="G14" s="94"/>
      <c r="H14" s="94"/>
      <c r="I14" s="94"/>
    </row>
    <row r="15" spans="1:9">
      <c r="B15" s="94" t="s">
        <v>80</v>
      </c>
      <c r="C15" s="94" t="s">
        <v>137</v>
      </c>
      <c r="D15" s="94"/>
      <c r="E15" s="94"/>
      <c r="F15" s="94"/>
      <c r="G15" s="94"/>
      <c r="H15" s="94"/>
      <c r="I15" s="94"/>
    </row>
    <row r="16" spans="1:9">
      <c r="B16" s="94" t="s">
        <v>82</v>
      </c>
      <c r="C16" s="94" t="s">
        <v>87</v>
      </c>
      <c r="D16" s="94"/>
      <c r="E16" s="94"/>
      <c r="F16" s="94"/>
      <c r="G16" s="94"/>
      <c r="H16" s="94"/>
      <c r="I16" s="94"/>
    </row>
    <row r="17" spans="2:9">
      <c r="B17" s="94" t="s">
        <v>85</v>
      </c>
      <c r="C17" s="94" t="s">
        <v>93</v>
      </c>
      <c r="D17" s="94"/>
      <c r="E17" s="94"/>
      <c r="F17" s="94"/>
      <c r="G17" s="94"/>
      <c r="H17" s="94"/>
      <c r="I17" s="94"/>
    </row>
    <row r="18" spans="2:9">
      <c r="B18" s="94"/>
      <c r="C18" s="94"/>
      <c r="D18" s="94"/>
      <c r="E18" s="94"/>
      <c r="F18" s="94"/>
      <c r="G18" s="94"/>
      <c r="H18" s="94"/>
      <c r="I18" s="94"/>
    </row>
    <row r="19" spans="2:9">
      <c r="B19" s="94"/>
      <c r="C19" s="94"/>
      <c r="D19" s="94"/>
      <c r="E19" s="94"/>
      <c r="F19" s="94"/>
      <c r="G19" s="94"/>
      <c r="H19" s="94"/>
      <c r="I19" s="94"/>
    </row>
    <row r="20" spans="2:9">
      <c r="B20" s="94"/>
      <c r="C20" s="94"/>
      <c r="D20" s="94"/>
      <c r="E20" s="94"/>
      <c r="F20" s="94"/>
      <c r="G20" s="94"/>
      <c r="H20" s="94"/>
      <c r="I20" s="94"/>
    </row>
    <row r="21" spans="2:9">
      <c r="B21" s="94"/>
      <c r="C21" s="94"/>
      <c r="D21" s="94"/>
      <c r="E21" s="94"/>
      <c r="F21" s="94"/>
      <c r="G21" s="94"/>
      <c r="H21" s="94"/>
      <c r="I21" s="94"/>
    </row>
    <row r="22" spans="2:9">
      <c r="B22" s="94"/>
      <c r="C22" s="94"/>
      <c r="D22" s="94"/>
      <c r="E22" s="94"/>
      <c r="F22" s="94"/>
      <c r="G22" s="94"/>
      <c r="H22" s="94"/>
      <c r="I22" s="94"/>
    </row>
    <row r="23" spans="2:9">
      <c r="B23" s="94"/>
      <c r="C23" s="94"/>
      <c r="D23" s="94"/>
      <c r="E23" s="94"/>
      <c r="F23" s="94"/>
      <c r="G23" s="94"/>
      <c r="H23" s="94"/>
      <c r="I23" s="94"/>
    </row>
    <row r="24" spans="2:9">
      <c r="B24" s="94"/>
      <c r="C24" s="94"/>
      <c r="D24" s="94"/>
      <c r="E24" s="94"/>
      <c r="F24" s="94"/>
      <c r="G24" s="94"/>
      <c r="H24" s="94"/>
      <c r="I24" s="94"/>
    </row>
    <row r="25" spans="2:9">
      <c r="B25" s="94"/>
      <c r="C25" s="94"/>
      <c r="D25" s="94"/>
      <c r="E25" s="94"/>
      <c r="F25" s="94"/>
      <c r="G25" s="94"/>
      <c r="H25" s="94"/>
      <c r="I25" s="94"/>
    </row>
  </sheetData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463A5-8688-4880-B985-E80DF3F8FDD4}">
  <sheetPr codeName="Sheet10"/>
  <dimension ref="A1:X37"/>
  <sheetViews>
    <sheetView tabSelected="1" topLeftCell="A6" zoomScale="145" zoomScaleNormal="145" workbookViewId="0">
      <selection activeCell="A6" sqref="A6"/>
    </sheetView>
  </sheetViews>
  <sheetFormatPr defaultRowHeight="10.5"/>
  <cols>
    <col min="1" max="1" width="3.5" style="9" customWidth="1"/>
    <col min="2" max="2" width="15.125" style="9" hidden="1" customWidth="1"/>
    <col min="3" max="3" width="95.5" style="9" hidden="1" customWidth="1"/>
    <col min="4" max="4" width="7.75" style="9" hidden="1" customWidth="1"/>
    <col min="5" max="5" width="9" style="9" customWidth="1"/>
    <col min="6" max="6" width="8" style="9" hidden="1" customWidth="1"/>
    <col min="7" max="7" width="8.375" style="9" hidden="1" customWidth="1"/>
    <col min="8" max="9" width="9" style="9" hidden="1" customWidth="1"/>
    <col min="10" max="11" width="10" style="42" customWidth="1"/>
    <col min="12" max="12" width="14" style="9" customWidth="1"/>
    <col min="13" max="20" width="9.875" style="9" customWidth="1"/>
    <col min="21" max="16384" width="9" style="9"/>
  </cols>
  <sheetData>
    <row r="1" spans="1:24" hidden="1">
      <c r="B1" s="11" t="s">
        <v>61</v>
      </c>
      <c r="C1" s="28" t="str">
        <f>IF(ISBLANK($B$1),"",共通設定値!$C$7&amp;IF(LEFT($B$1,1)="/",$B$1,"/"&amp;$B$1))</f>
        <v>http://localhost:8080/if1060</v>
      </c>
    </row>
    <row r="2" spans="1:24" hidden="1"/>
    <row r="3" spans="1:24" hidden="1">
      <c r="B3" s="11" t="s">
        <v>30</v>
      </c>
      <c r="C3" s="11" t="s">
        <v>31</v>
      </c>
    </row>
    <row r="4" spans="1:24" hidden="1">
      <c r="B4" s="29" t="s">
        <v>33</v>
      </c>
      <c r="C4" s="29" t="s">
        <v>37</v>
      </c>
    </row>
    <row r="5" spans="1:24" hidden="1"/>
    <row r="6" spans="1:24">
      <c r="J6" s="9"/>
      <c r="K6" s="9"/>
      <c r="O6" s="16"/>
      <c r="P6" s="16"/>
      <c r="Q6" s="16"/>
      <c r="R6" s="16"/>
      <c r="S6" s="16"/>
      <c r="T6" s="16"/>
      <c r="U6" s="16"/>
      <c r="V6" s="16"/>
      <c r="W6" s="16"/>
      <c r="X6" s="16"/>
    </row>
    <row r="7" spans="1:24">
      <c r="C7" s="31"/>
      <c r="F7" s="18"/>
      <c r="G7" s="18"/>
      <c r="O7" s="16"/>
      <c r="P7" s="16"/>
      <c r="Q7" s="16"/>
      <c r="R7" s="16"/>
      <c r="S7" s="16"/>
      <c r="T7" s="16"/>
      <c r="U7" s="16"/>
      <c r="V7" s="16"/>
      <c r="W7" s="16"/>
      <c r="X7" s="16"/>
    </row>
    <row r="8" spans="1:24">
      <c r="E8" s="20"/>
      <c r="F8" s="18"/>
      <c r="G8" s="17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>
      <c r="E9" s="20" t="s">
        <v>136</v>
      </c>
      <c r="G9" s="15"/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1:24" ht="10.5" customHeight="1">
      <c r="A10" s="111" t="s">
        <v>16</v>
      </c>
      <c r="B10" s="121" t="s">
        <v>6</v>
      </c>
      <c r="C10" s="122"/>
      <c r="E10" s="116" t="s">
        <v>4</v>
      </c>
      <c r="F10" s="125" t="s">
        <v>15</v>
      </c>
      <c r="G10" s="40" t="s">
        <v>63</v>
      </c>
      <c r="H10" s="40" t="s">
        <v>138</v>
      </c>
      <c r="I10" s="41"/>
      <c r="J10" s="118" t="s">
        <v>91</v>
      </c>
      <c r="K10" s="118" t="s">
        <v>140</v>
      </c>
      <c r="L10" s="116" t="s">
        <v>65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1:24">
      <c r="A11" s="120"/>
      <c r="B11" s="123"/>
      <c r="C11" s="124"/>
      <c r="E11" s="117"/>
      <c r="F11" s="126"/>
      <c r="G11" s="43" t="s">
        <v>62</v>
      </c>
      <c r="H11" s="106" t="s">
        <v>139</v>
      </c>
      <c r="I11" s="41"/>
      <c r="J11" s="119" t="s">
        <v>64</v>
      </c>
      <c r="K11" s="119" t="s">
        <v>64</v>
      </c>
      <c r="L11" s="117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4" s="16" customFormat="1">
      <c r="A12" s="92">
        <f t="shared" ref="A12" si="0">ROW()-11</f>
        <v>1</v>
      </c>
      <c r="B12" s="105" t="s">
        <v>143</v>
      </c>
      <c r="C12" s="105"/>
      <c r="D12" s="44"/>
      <c r="E12" s="13" t="s">
        <v>5</v>
      </c>
      <c r="F12" s="14" t="s">
        <v>142</v>
      </c>
      <c r="G12" s="39"/>
      <c r="H12" s="39"/>
      <c r="I12" s="44"/>
      <c r="J12" s="45" t="s">
        <v>131</v>
      </c>
      <c r="K12" s="45" t="s">
        <v>141</v>
      </c>
      <c r="L12" s="45" t="s">
        <v>144</v>
      </c>
    </row>
    <row r="13" spans="1:24" s="16" customFormat="1">
      <c r="A13" s="92">
        <f t="shared" ref="A13:A37" si="1">ROW()-11</f>
        <v>2</v>
      </c>
      <c r="B13" s="105" t="s">
        <v>146</v>
      </c>
      <c r="C13" s="105"/>
      <c r="D13" s="44"/>
      <c r="E13" s="13" t="s">
        <v>5</v>
      </c>
      <c r="F13" s="14" t="s">
        <v>145</v>
      </c>
      <c r="G13" s="39"/>
      <c r="H13" s="39"/>
      <c r="I13" s="44"/>
      <c r="J13" s="45"/>
      <c r="K13" s="45"/>
      <c r="L13" s="45"/>
    </row>
    <row r="14" spans="1:24" s="16" customFormat="1">
      <c r="A14" s="92">
        <f t="shared" si="1"/>
        <v>3</v>
      </c>
      <c r="B14" s="105" t="s">
        <v>148</v>
      </c>
      <c r="C14" s="105"/>
      <c r="D14" s="44"/>
      <c r="E14" s="13" t="s">
        <v>5</v>
      </c>
      <c r="F14" s="14" t="s">
        <v>147</v>
      </c>
      <c r="G14" s="39"/>
      <c r="H14" s="39"/>
      <c r="I14" s="44"/>
      <c r="J14" s="45"/>
      <c r="K14" s="45"/>
      <c r="L14" s="45"/>
    </row>
    <row r="15" spans="1:24" s="16" customFormat="1">
      <c r="A15" s="92">
        <f t="shared" si="1"/>
        <v>4</v>
      </c>
      <c r="B15" s="105" t="s">
        <v>150</v>
      </c>
      <c r="C15" s="105"/>
      <c r="D15" s="44"/>
      <c r="E15" s="13" t="s">
        <v>5</v>
      </c>
      <c r="F15" s="14" t="s">
        <v>149</v>
      </c>
      <c r="G15" s="39"/>
      <c r="H15" s="39"/>
      <c r="I15" s="44"/>
      <c r="J15" s="45"/>
      <c r="K15" s="45"/>
      <c r="L15" s="45"/>
    </row>
    <row r="16" spans="1:24" s="16" customFormat="1">
      <c r="A16" s="92">
        <f t="shared" si="1"/>
        <v>5</v>
      </c>
      <c r="B16" s="105" t="s">
        <v>152</v>
      </c>
      <c r="C16" s="105"/>
      <c r="D16" s="44"/>
      <c r="E16" s="13" t="s">
        <v>5</v>
      </c>
      <c r="F16" s="14" t="s">
        <v>151</v>
      </c>
      <c r="G16" s="39"/>
      <c r="H16" s="39"/>
      <c r="I16" s="44"/>
      <c r="J16" s="45"/>
      <c r="K16" s="45"/>
      <c r="L16" s="45"/>
    </row>
    <row r="17" spans="1:12" s="16" customFormat="1">
      <c r="A17" s="92">
        <f t="shared" si="1"/>
        <v>6</v>
      </c>
      <c r="B17" s="105" t="s">
        <v>154</v>
      </c>
      <c r="C17" s="105"/>
      <c r="D17" s="44"/>
      <c r="E17" s="13" t="s">
        <v>5</v>
      </c>
      <c r="F17" s="14" t="s">
        <v>153</v>
      </c>
      <c r="G17" s="39"/>
      <c r="H17" s="39"/>
      <c r="I17" s="44"/>
      <c r="J17" s="45"/>
      <c r="K17" s="45"/>
      <c r="L17" s="45"/>
    </row>
    <row r="18" spans="1:12" s="16" customFormat="1">
      <c r="A18" s="92">
        <f t="shared" si="1"/>
        <v>7</v>
      </c>
      <c r="B18" s="105" t="s">
        <v>156</v>
      </c>
      <c r="C18" s="105"/>
      <c r="D18" s="44"/>
      <c r="E18" s="13" t="s">
        <v>5</v>
      </c>
      <c r="F18" s="14" t="s">
        <v>155</v>
      </c>
      <c r="G18" s="39"/>
      <c r="H18" s="39"/>
      <c r="I18" s="44"/>
      <c r="J18" s="45"/>
      <c r="K18" s="45"/>
      <c r="L18" s="45"/>
    </row>
    <row r="19" spans="1:12" s="16" customFormat="1">
      <c r="A19" s="92">
        <f t="shared" si="1"/>
        <v>8</v>
      </c>
      <c r="B19" s="105" t="s">
        <v>158</v>
      </c>
      <c r="C19" s="105"/>
      <c r="D19" s="44"/>
      <c r="E19" s="13" t="s">
        <v>5</v>
      </c>
      <c r="F19" s="14" t="s">
        <v>157</v>
      </c>
      <c r="G19" s="39"/>
      <c r="H19" s="39"/>
      <c r="I19" s="44"/>
      <c r="J19" s="45"/>
      <c r="K19" s="45"/>
      <c r="L19" s="45"/>
    </row>
    <row r="20" spans="1:12" s="16" customFormat="1">
      <c r="A20" s="92">
        <f t="shared" si="1"/>
        <v>9</v>
      </c>
      <c r="B20" s="105" t="s">
        <v>160</v>
      </c>
      <c r="C20" s="105"/>
      <c r="D20" s="44"/>
      <c r="E20" s="13" t="s">
        <v>5</v>
      </c>
      <c r="F20" s="14" t="s">
        <v>159</v>
      </c>
      <c r="G20" s="39"/>
      <c r="H20" s="39"/>
      <c r="I20" s="44"/>
      <c r="J20" s="45"/>
      <c r="K20" s="45"/>
      <c r="L20" s="45"/>
    </row>
    <row r="21" spans="1:12" s="16" customFormat="1">
      <c r="A21" s="92">
        <f t="shared" si="1"/>
        <v>10</v>
      </c>
      <c r="B21" s="105" t="s">
        <v>162</v>
      </c>
      <c r="C21" s="105"/>
      <c r="D21" s="44"/>
      <c r="E21" s="13" t="s">
        <v>5</v>
      </c>
      <c r="F21" s="14" t="s">
        <v>161</v>
      </c>
      <c r="G21" s="39"/>
      <c r="H21" s="39"/>
      <c r="I21" s="44"/>
      <c r="J21" s="45"/>
      <c r="K21" s="45"/>
      <c r="L21" s="45"/>
    </row>
    <row r="22" spans="1:12" s="16" customFormat="1">
      <c r="A22" s="92">
        <f t="shared" si="1"/>
        <v>11</v>
      </c>
      <c r="B22" s="105" t="s">
        <v>164</v>
      </c>
      <c r="C22" s="105"/>
      <c r="D22" s="44"/>
      <c r="E22" s="13" t="s">
        <v>5</v>
      </c>
      <c r="F22" s="14" t="s">
        <v>163</v>
      </c>
      <c r="G22" s="39"/>
      <c r="H22" s="39"/>
      <c r="I22" s="44"/>
      <c r="J22" s="45"/>
      <c r="K22" s="45"/>
      <c r="L22" s="45"/>
    </row>
    <row r="23" spans="1:12" s="16" customFormat="1">
      <c r="A23" s="92">
        <f t="shared" si="1"/>
        <v>12</v>
      </c>
      <c r="B23" s="105" t="s">
        <v>166</v>
      </c>
      <c r="C23" s="105"/>
      <c r="D23" s="44"/>
      <c r="E23" s="13" t="s">
        <v>5</v>
      </c>
      <c r="F23" s="14" t="s">
        <v>165</v>
      </c>
      <c r="G23" s="39"/>
      <c r="H23" s="39"/>
      <c r="I23" s="44"/>
      <c r="J23" s="45"/>
      <c r="K23" s="45"/>
      <c r="L23" s="45"/>
    </row>
    <row r="24" spans="1:12" s="16" customFormat="1">
      <c r="A24" s="92">
        <f t="shared" si="1"/>
        <v>13</v>
      </c>
      <c r="B24" s="105" t="s">
        <v>168</v>
      </c>
      <c r="C24" s="105"/>
      <c r="D24" s="44"/>
      <c r="E24" s="13" t="s">
        <v>5</v>
      </c>
      <c r="F24" s="14" t="s">
        <v>167</v>
      </c>
      <c r="G24" s="39"/>
      <c r="H24" s="39"/>
      <c r="I24" s="44"/>
      <c r="J24" s="45"/>
      <c r="K24" s="45"/>
      <c r="L24" s="45"/>
    </row>
    <row r="25" spans="1:12" s="16" customFormat="1">
      <c r="A25" s="92">
        <f t="shared" si="1"/>
        <v>14</v>
      </c>
      <c r="B25" s="105" t="s">
        <v>170</v>
      </c>
      <c r="C25" s="105"/>
      <c r="D25" s="44"/>
      <c r="E25" s="13" t="s">
        <v>5</v>
      </c>
      <c r="F25" s="14" t="s">
        <v>169</v>
      </c>
      <c r="G25" s="39"/>
      <c r="H25" s="39"/>
      <c r="I25" s="44"/>
      <c r="J25" s="45"/>
      <c r="K25" s="45"/>
      <c r="L25" s="45"/>
    </row>
    <row r="26" spans="1:12" s="16" customFormat="1">
      <c r="A26" s="92">
        <f t="shared" si="1"/>
        <v>15</v>
      </c>
      <c r="B26" s="105" t="s">
        <v>172</v>
      </c>
      <c r="C26" s="105"/>
      <c r="D26" s="44"/>
      <c r="E26" s="13" t="s">
        <v>5</v>
      </c>
      <c r="F26" s="14" t="s">
        <v>171</v>
      </c>
      <c r="G26" s="39"/>
      <c r="H26" s="39"/>
      <c r="I26" s="44"/>
      <c r="J26" s="45"/>
      <c r="K26" s="45"/>
      <c r="L26" s="45"/>
    </row>
    <row r="27" spans="1:12" s="16" customFormat="1">
      <c r="A27" s="92">
        <f t="shared" si="1"/>
        <v>16</v>
      </c>
      <c r="B27" s="105" t="s">
        <v>174</v>
      </c>
      <c r="C27" s="105"/>
      <c r="D27" s="44"/>
      <c r="E27" s="13" t="s">
        <v>5</v>
      </c>
      <c r="F27" s="14" t="s">
        <v>173</v>
      </c>
      <c r="G27" s="39"/>
      <c r="H27" s="39"/>
      <c r="I27" s="44"/>
      <c r="J27" s="45"/>
      <c r="K27" s="45"/>
      <c r="L27" s="45"/>
    </row>
    <row r="28" spans="1:12" s="16" customFormat="1">
      <c r="A28" s="92">
        <f t="shared" si="1"/>
        <v>17</v>
      </c>
      <c r="B28" s="105" t="s">
        <v>176</v>
      </c>
      <c r="C28" s="105"/>
      <c r="D28" s="44"/>
      <c r="E28" s="13" t="s">
        <v>5</v>
      </c>
      <c r="F28" s="14" t="s">
        <v>175</v>
      </c>
      <c r="G28" s="39"/>
      <c r="H28" s="39"/>
      <c r="I28" s="44"/>
      <c r="J28" s="45"/>
      <c r="K28" s="45"/>
      <c r="L28" s="45"/>
    </row>
    <row r="29" spans="1:12" s="16" customFormat="1">
      <c r="A29" s="92">
        <f t="shared" si="1"/>
        <v>18</v>
      </c>
      <c r="B29" s="105" t="s">
        <v>178</v>
      </c>
      <c r="C29" s="105"/>
      <c r="D29" s="44"/>
      <c r="E29" s="13" t="s">
        <v>5</v>
      </c>
      <c r="F29" s="14" t="s">
        <v>177</v>
      </c>
      <c r="G29" s="39"/>
      <c r="H29" s="39"/>
      <c r="I29" s="44"/>
      <c r="J29" s="45"/>
      <c r="K29" s="45"/>
      <c r="L29" s="45"/>
    </row>
    <row r="30" spans="1:12" s="16" customFormat="1">
      <c r="A30" s="92">
        <f t="shared" si="1"/>
        <v>19</v>
      </c>
      <c r="B30" s="105" t="s">
        <v>180</v>
      </c>
      <c r="C30" s="105"/>
      <c r="D30" s="44"/>
      <c r="E30" s="13" t="s">
        <v>5</v>
      </c>
      <c r="F30" s="14" t="s">
        <v>179</v>
      </c>
      <c r="G30" s="39"/>
      <c r="H30" s="39"/>
      <c r="I30" s="44"/>
      <c r="J30" s="45"/>
      <c r="K30" s="45"/>
      <c r="L30" s="45"/>
    </row>
    <row r="31" spans="1:12" s="16" customFormat="1">
      <c r="A31" s="92">
        <f t="shared" si="1"/>
        <v>20</v>
      </c>
      <c r="B31" s="105" t="s">
        <v>182</v>
      </c>
      <c r="C31" s="105"/>
      <c r="D31" s="44"/>
      <c r="E31" s="13" t="s">
        <v>5</v>
      </c>
      <c r="F31" s="14" t="s">
        <v>181</v>
      </c>
      <c r="G31" s="39"/>
      <c r="H31" s="39"/>
      <c r="I31" s="44"/>
      <c r="J31" s="45"/>
      <c r="K31" s="45"/>
      <c r="L31" s="45"/>
    </row>
    <row r="32" spans="1:12" s="16" customFormat="1">
      <c r="A32" s="92">
        <f t="shared" si="1"/>
        <v>21</v>
      </c>
      <c r="B32" s="105" t="s">
        <v>184</v>
      </c>
      <c r="C32" s="105"/>
      <c r="D32" s="44"/>
      <c r="E32" s="13" t="s">
        <v>5</v>
      </c>
      <c r="F32" s="14" t="s">
        <v>183</v>
      </c>
      <c r="G32" s="39"/>
      <c r="H32" s="39"/>
      <c r="I32" s="44"/>
      <c r="J32" s="45"/>
      <c r="K32" s="45"/>
      <c r="L32" s="45"/>
    </row>
    <row r="33" spans="1:12" s="16" customFormat="1">
      <c r="A33" s="92">
        <f t="shared" si="1"/>
        <v>22</v>
      </c>
      <c r="B33" s="105" t="s">
        <v>186</v>
      </c>
      <c r="C33" s="105"/>
      <c r="D33" s="44"/>
      <c r="E33" s="13" t="s">
        <v>5</v>
      </c>
      <c r="F33" s="14" t="s">
        <v>185</v>
      </c>
      <c r="G33" s="39"/>
      <c r="H33" s="39"/>
      <c r="I33" s="44"/>
      <c r="J33" s="45"/>
      <c r="K33" s="45"/>
      <c r="L33" s="45"/>
    </row>
    <row r="34" spans="1:12" s="16" customFormat="1">
      <c r="A34" s="92">
        <f t="shared" si="1"/>
        <v>23</v>
      </c>
      <c r="B34" s="105" t="s">
        <v>188</v>
      </c>
      <c r="C34" s="105"/>
      <c r="D34" s="44"/>
      <c r="E34" s="13" t="s">
        <v>5</v>
      </c>
      <c r="F34" s="14" t="s">
        <v>187</v>
      </c>
      <c r="G34" s="39"/>
      <c r="H34" s="39"/>
      <c r="I34" s="44"/>
      <c r="J34" s="45"/>
      <c r="K34" s="45"/>
      <c r="L34" s="45"/>
    </row>
    <row r="35" spans="1:12" s="16" customFormat="1">
      <c r="A35" s="92">
        <f t="shared" si="1"/>
        <v>24</v>
      </c>
      <c r="B35" s="105" t="s">
        <v>190</v>
      </c>
      <c r="C35" s="105"/>
      <c r="D35" s="44"/>
      <c r="E35" s="13" t="s">
        <v>5</v>
      </c>
      <c r="F35" s="14" t="s">
        <v>189</v>
      </c>
      <c r="G35" s="39"/>
      <c r="H35" s="39"/>
      <c r="I35" s="44"/>
      <c r="J35" s="45"/>
      <c r="K35" s="45"/>
      <c r="L35" s="45"/>
    </row>
    <row r="36" spans="1:12" s="16" customFormat="1">
      <c r="A36" s="92">
        <f t="shared" si="1"/>
        <v>25</v>
      </c>
      <c r="B36" s="105" t="s">
        <v>192</v>
      </c>
      <c r="C36" s="105"/>
      <c r="D36" s="44"/>
      <c r="E36" s="13" t="s">
        <v>5</v>
      </c>
      <c r="F36" s="14" t="s">
        <v>191</v>
      </c>
      <c r="G36" s="39"/>
      <c r="H36" s="39"/>
      <c r="I36" s="44"/>
      <c r="J36" s="45"/>
      <c r="K36" s="45"/>
      <c r="L36" s="45"/>
    </row>
    <row r="37" spans="1:12" s="16" customFormat="1">
      <c r="A37" s="92">
        <f t="shared" si="1"/>
        <v>26</v>
      </c>
      <c r="B37" s="105" t="s">
        <v>194</v>
      </c>
      <c r="C37" s="105"/>
      <c r="D37" s="44"/>
      <c r="E37" s="13" t="s">
        <v>5</v>
      </c>
      <c r="F37" s="14" t="s">
        <v>193</v>
      </c>
      <c r="G37" s="39"/>
      <c r="H37" s="39"/>
      <c r="I37" s="44"/>
      <c r="J37" s="45"/>
      <c r="K37" s="45"/>
      <c r="L37" s="45"/>
    </row>
  </sheetData>
  <sheetProtection formatCells="0"/>
  <mergeCells count="7">
    <mergeCell ref="F10:F11"/>
    <mergeCell ref="J10:J11"/>
    <mergeCell ref="A10:A11"/>
    <mergeCell ref="B10:C11"/>
    <mergeCell ref="E10:E11"/>
    <mergeCell ref="L10:L11"/>
    <mergeCell ref="K10:K11"/>
  </mergeCells>
  <phoneticPr fontId="2"/>
  <dataValidations disablePrompts="1" count="2">
    <dataValidation type="list" allowBlank="1" showInputMessage="1" sqref="G8 G12:G37" xr:uid="{4BECF718-2F20-4C2D-A439-E72744B313AF}">
      <formula1>"(null)"</formula1>
    </dataValidation>
    <dataValidation type="list" allowBlank="1" showInputMessage="1" showErrorMessage="1" sqref="E12:E37" xr:uid="{C0AB2061-00F9-49A6-BBA4-CD74484AF31A}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>
    <oddHeader>&amp;C&amp;A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endDenbunCMU460">
                <anchor moveWithCells="1" sizeWithCells="1">
                  <from>
                    <xdr:col>4</xdr:col>
                    <xdr:colOff>9525</xdr:colOff>
                    <xdr:row>4</xdr:row>
                    <xdr:rowOff>123825</xdr:rowOff>
                  </from>
                  <to>
                    <xdr:col>4</xdr:col>
                    <xdr:colOff>600075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E196F021-3EFF-4B08-913B-C5DE07E6492E}">
          <x14:formula1>
            <xm:f>項目名!$D$3:$D$5</xm:f>
          </x14:formula1>
          <xm:sqref>B1</xm:sqref>
        </x14:dataValidation>
        <x14:dataValidation type="list" allowBlank="1" showInputMessage="1" showErrorMessage="1" xr:uid="{3B3BEB20-4546-4165-9D6D-BAA748C982DB}">
          <x14:formula1>
            <xm:f>項目名!$B$3:$B$4</xm:f>
          </x14:formula1>
          <xm:sqref>B4</xm:sqref>
        </x14:dataValidation>
        <x14:dataValidation type="list" allowBlank="1" showInputMessage="1" showErrorMessage="1" xr:uid="{99D16682-9558-4F85-A92E-8F6B8EFF6DD6}">
          <x14:formula1>
            <xm:f>項目名!$C$3:$C$4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BCE2-BD68-4EAA-9F2B-85234E3DC1DE}">
  <sheetPr codeName="Sheet7"/>
  <dimension ref="B1:K53"/>
  <sheetViews>
    <sheetView topLeftCell="A10" workbookViewId="0"/>
  </sheetViews>
  <sheetFormatPr defaultRowHeight="13.5"/>
  <sheetData>
    <row r="1" spans="2:11">
      <c r="B1" t="s">
        <v>130</v>
      </c>
    </row>
    <row r="2" spans="2:11">
      <c r="B2" s="95"/>
      <c r="C2" s="96"/>
      <c r="D2" s="96"/>
      <c r="E2" s="96"/>
      <c r="F2" s="96"/>
      <c r="G2" s="96"/>
      <c r="H2" s="96"/>
      <c r="I2" s="96"/>
      <c r="J2" s="96"/>
      <c r="K2" s="97"/>
    </row>
    <row r="3" spans="2:11">
      <c r="B3" s="98"/>
      <c r="C3" s="4" t="s">
        <v>94</v>
      </c>
      <c r="D3" s="4"/>
      <c r="E3" s="4"/>
      <c r="F3" s="4"/>
      <c r="G3" s="4"/>
      <c r="H3" s="4"/>
      <c r="I3" s="4"/>
      <c r="J3" s="4"/>
      <c r="K3" s="99"/>
    </row>
    <row r="4" spans="2:11">
      <c r="B4" s="98"/>
      <c r="C4" s="4"/>
      <c r="D4" s="4"/>
      <c r="E4" s="4"/>
      <c r="F4" s="4"/>
      <c r="G4" s="4"/>
      <c r="H4" s="4"/>
      <c r="I4" s="4"/>
      <c r="J4" s="4"/>
      <c r="K4" s="99"/>
    </row>
    <row r="5" spans="2:11">
      <c r="B5" s="98"/>
      <c r="C5" s="4" t="s">
        <v>95</v>
      </c>
      <c r="D5" s="4"/>
      <c r="E5" s="4"/>
      <c r="F5" s="4"/>
      <c r="G5" s="4"/>
      <c r="H5" s="4"/>
      <c r="I5" s="4"/>
      <c r="J5" s="4"/>
      <c r="K5" s="99"/>
    </row>
    <row r="6" spans="2:11">
      <c r="B6" s="98"/>
      <c r="C6" s="4" t="s">
        <v>96</v>
      </c>
      <c r="D6" s="4"/>
      <c r="E6" s="4"/>
      <c r="F6" s="4"/>
      <c r="G6" s="4"/>
      <c r="H6" s="4"/>
      <c r="I6" s="4"/>
      <c r="J6" s="4"/>
      <c r="K6" s="99"/>
    </row>
    <row r="7" spans="2:11">
      <c r="B7" s="98"/>
      <c r="C7" s="4"/>
      <c r="D7" s="4"/>
      <c r="E7" s="4"/>
      <c r="F7" s="4"/>
      <c r="G7" s="4"/>
      <c r="H7" s="4"/>
      <c r="I7" s="4"/>
      <c r="J7" s="4"/>
      <c r="K7" s="99"/>
    </row>
    <row r="8" spans="2:11">
      <c r="B8" s="98"/>
      <c r="C8" s="4" t="s">
        <v>97</v>
      </c>
      <c r="D8" s="4"/>
      <c r="E8" s="4"/>
      <c r="F8" s="4"/>
      <c r="G8" s="4"/>
      <c r="H8" s="4"/>
      <c r="I8" s="4"/>
      <c r="J8" s="4"/>
      <c r="K8" s="99"/>
    </row>
    <row r="9" spans="2:11">
      <c r="B9" s="98"/>
      <c r="C9" s="4"/>
      <c r="D9" s="4"/>
      <c r="E9" s="4"/>
      <c r="F9" s="4"/>
      <c r="G9" s="4"/>
      <c r="H9" s="4"/>
      <c r="I9" s="4"/>
      <c r="J9" s="4"/>
      <c r="K9" s="99"/>
    </row>
    <row r="10" spans="2:11">
      <c r="B10" s="98"/>
      <c r="C10" s="4" t="s">
        <v>98</v>
      </c>
      <c r="D10" s="4"/>
      <c r="E10" s="4"/>
      <c r="F10" s="4"/>
      <c r="G10" s="4"/>
      <c r="H10" s="4"/>
      <c r="I10" s="4"/>
      <c r="J10" s="4"/>
      <c r="K10" s="99"/>
    </row>
    <row r="11" spans="2:11">
      <c r="B11" s="98"/>
      <c r="C11" s="4" t="s">
        <v>99</v>
      </c>
      <c r="D11" s="4"/>
      <c r="E11" s="4"/>
      <c r="F11" s="4"/>
      <c r="G11" s="4"/>
      <c r="H11" s="4"/>
      <c r="I11" s="4"/>
      <c r="J11" s="4"/>
      <c r="K11" s="99"/>
    </row>
    <row r="12" spans="2:11">
      <c r="B12" s="98"/>
      <c r="C12" s="4" t="s">
        <v>100</v>
      </c>
      <c r="D12" s="4"/>
      <c r="E12" s="4"/>
      <c r="F12" s="4"/>
      <c r="G12" s="4"/>
      <c r="H12" s="4"/>
      <c r="I12" s="4"/>
      <c r="J12" s="4"/>
      <c r="K12" s="99"/>
    </row>
    <row r="13" spans="2:11">
      <c r="B13" s="98"/>
      <c r="C13" s="4"/>
      <c r="D13" s="4"/>
      <c r="E13" s="4"/>
      <c r="F13" s="4"/>
      <c r="G13" s="4"/>
      <c r="H13" s="4"/>
      <c r="I13" s="4"/>
      <c r="J13" s="4"/>
      <c r="K13" s="99"/>
    </row>
    <row r="14" spans="2:11">
      <c r="B14" s="98"/>
      <c r="C14" s="4" t="s">
        <v>101</v>
      </c>
      <c r="D14" s="4"/>
      <c r="E14" s="4"/>
      <c r="F14" s="4"/>
      <c r="G14" s="4"/>
      <c r="H14" s="4"/>
      <c r="I14" s="4"/>
      <c r="J14" s="4"/>
      <c r="K14" s="99"/>
    </row>
    <row r="15" spans="2:11">
      <c r="B15" s="98"/>
      <c r="C15" s="4"/>
      <c r="D15" s="4"/>
      <c r="E15" s="4"/>
      <c r="F15" s="4"/>
      <c r="G15" s="4"/>
      <c r="H15" s="4"/>
      <c r="I15" s="4"/>
      <c r="J15" s="4"/>
      <c r="K15" s="99"/>
    </row>
    <row r="16" spans="2:11">
      <c r="B16" s="98"/>
      <c r="C16" s="4" t="s">
        <v>102</v>
      </c>
      <c r="D16" s="4"/>
      <c r="E16" s="4"/>
      <c r="F16" s="4"/>
      <c r="G16" s="4"/>
      <c r="H16" s="4"/>
      <c r="I16" s="4"/>
      <c r="J16" s="4"/>
      <c r="K16" s="99"/>
    </row>
    <row r="17" spans="2:11">
      <c r="B17" s="98"/>
      <c r="C17" s="4" t="s">
        <v>103</v>
      </c>
      <c r="D17" s="4"/>
      <c r="E17" s="4"/>
      <c r="F17" s="4"/>
      <c r="G17" s="4"/>
      <c r="H17" s="4"/>
      <c r="I17" s="4"/>
      <c r="J17" s="4"/>
      <c r="K17" s="99"/>
    </row>
    <row r="18" spans="2:11">
      <c r="B18" s="98"/>
      <c r="C18" s="4" t="s">
        <v>104</v>
      </c>
      <c r="D18" s="4"/>
      <c r="E18" s="4"/>
      <c r="F18" s="4"/>
      <c r="G18" s="4"/>
      <c r="H18" s="4"/>
      <c r="I18" s="4"/>
      <c r="J18" s="4"/>
      <c r="K18" s="99"/>
    </row>
    <row r="19" spans="2:11">
      <c r="B19" s="98"/>
      <c r="C19" s="4" t="s">
        <v>105</v>
      </c>
      <c r="D19" s="4"/>
      <c r="E19" s="4"/>
      <c r="F19" s="4"/>
      <c r="G19" s="4"/>
      <c r="H19" s="4"/>
      <c r="I19" s="4"/>
      <c r="J19" s="4"/>
      <c r="K19" s="99"/>
    </row>
    <row r="20" spans="2:11">
      <c r="B20" s="98"/>
      <c r="C20" s="4" t="s">
        <v>106</v>
      </c>
      <c r="D20" s="4"/>
      <c r="E20" s="4"/>
      <c r="F20" s="4"/>
      <c r="G20" s="4"/>
      <c r="H20" s="4"/>
      <c r="I20" s="4"/>
      <c r="J20" s="4"/>
      <c r="K20" s="99"/>
    </row>
    <row r="21" spans="2:11">
      <c r="B21" s="98"/>
      <c r="C21" s="103" t="s">
        <v>110</v>
      </c>
      <c r="D21" s="103"/>
      <c r="E21" s="103"/>
      <c r="F21" s="103"/>
      <c r="G21" s="103"/>
      <c r="H21" s="4"/>
      <c r="I21" s="4"/>
      <c r="J21" s="4"/>
      <c r="K21" s="99"/>
    </row>
    <row r="22" spans="2:11">
      <c r="B22" s="98"/>
      <c r="C22" s="103" t="s">
        <v>111</v>
      </c>
      <c r="D22" s="103"/>
      <c r="E22" s="103"/>
      <c r="F22" s="103"/>
      <c r="G22" s="103"/>
      <c r="H22" s="4"/>
      <c r="I22" s="4"/>
      <c r="J22" s="4"/>
      <c r="K22" s="99"/>
    </row>
    <row r="23" spans="2:11">
      <c r="B23" s="98"/>
      <c r="C23" s="103" t="s">
        <v>112</v>
      </c>
      <c r="D23" s="103"/>
      <c r="E23" s="103"/>
      <c r="F23" s="103"/>
      <c r="G23" s="103"/>
      <c r="H23" s="4"/>
      <c r="I23" s="4"/>
      <c r="J23" s="4"/>
      <c r="K23" s="99"/>
    </row>
    <row r="24" spans="2:11">
      <c r="B24" s="98"/>
      <c r="C24" s="4" t="s">
        <v>107</v>
      </c>
      <c r="D24" s="4"/>
      <c r="E24" s="4"/>
      <c r="F24" s="4"/>
      <c r="G24" s="4"/>
      <c r="H24" s="4"/>
      <c r="I24" s="4"/>
      <c r="J24" s="4"/>
      <c r="K24" s="99"/>
    </row>
    <row r="25" spans="2:11">
      <c r="B25" s="98"/>
      <c r="C25" s="4" t="s">
        <v>108</v>
      </c>
      <c r="D25" s="4"/>
      <c r="E25" s="4"/>
      <c r="F25" s="4"/>
      <c r="G25" s="4"/>
      <c r="H25" s="4"/>
      <c r="I25" s="4"/>
      <c r="J25" s="4"/>
      <c r="K25" s="99"/>
    </row>
    <row r="26" spans="2:11">
      <c r="B26" s="98"/>
      <c r="C26" s="4" t="s">
        <v>109</v>
      </c>
      <c r="D26" s="4"/>
      <c r="E26" s="4"/>
      <c r="F26" s="4"/>
      <c r="G26" s="4"/>
      <c r="H26" s="4"/>
      <c r="I26" s="4"/>
      <c r="J26" s="4"/>
      <c r="K26" s="99"/>
    </row>
    <row r="27" spans="2:11">
      <c r="B27" s="98"/>
      <c r="C27" s="4"/>
      <c r="D27" s="4"/>
      <c r="E27" s="4"/>
      <c r="F27" s="4"/>
      <c r="G27" s="4"/>
      <c r="H27" s="4"/>
      <c r="I27" s="4"/>
      <c r="J27" s="4"/>
      <c r="K27" s="99"/>
    </row>
    <row r="28" spans="2:11">
      <c r="B28" s="98"/>
      <c r="C28" s="4" t="s">
        <v>113</v>
      </c>
      <c r="D28" s="4"/>
      <c r="E28" s="4"/>
      <c r="F28" s="4"/>
      <c r="G28" s="4"/>
      <c r="H28" s="4"/>
      <c r="I28" s="4"/>
      <c r="J28" s="4"/>
      <c r="K28" s="99"/>
    </row>
    <row r="29" spans="2:11">
      <c r="B29" s="98"/>
      <c r="C29" s="4"/>
      <c r="D29" s="4"/>
      <c r="E29" s="4"/>
      <c r="F29" s="4"/>
      <c r="G29" s="4"/>
      <c r="H29" s="4"/>
      <c r="I29" s="4"/>
      <c r="J29" s="4"/>
      <c r="K29" s="99"/>
    </row>
    <row r="30" spans="2:11">
      <c r="B30" s="98"/>
      <c r="C30" s="4" t="s">
        <v>114</v>
      </c>
      <c r="D30" s="4"/>
      <c r="E30" s="4"/>
      <c r="F30" s="4"/>
      <c r="G30" s="4"/>
      <c r="H30" s="4"/>
      <c r="I30" s="4"/>
      <c r="J30" s="4"/>
      <c r="K30" s="99"/>
    </row>
    <row r="31" spans="2:11">
      <c r="B31" s="98"/>
      <c r="C31" s="4"/>
      <c r="D31" s="4"/>
      <c r="E31" s="4"/>
      <c r="F31" s="4"/>
      <c r="G31" s="4"/>
      <c r="H31" s="4"/>
      <c r="I31" s="4"/>
      <c r="J31" s="4"/>
      <c r="K31" s="99"/>
    </row>
    <row r="32" spans="2:11">
      <c r="B32" s="98"/>
      <c r="C32" s="4" t="s">
        <v>115</v>
      </c>
      <c r="D32" s="4"/>
      <c r="E32" s="4"/>
      <c r="F32" s="4"/>
      <c r="G32" s="4"/>
      <c r="H32" s="4"/>
      <c r="I32" s="4"/>
      <c r="J32" s="4"/>
      <c r="K32" s="99"/>
    </row>
    <row r="33" spans="2:11">
      <c r="B33" s="98"/>
      <c r="C33" s="4" t="s">
        <v>116</v>
      </c>
      <c r="D33" s="4"/>
      <c r="E33" s="4"/>
      <c r="F33" s="4"/>
      <c r="G33" s="4"/>
      <c r="H33" s="4"/>
      <c r="I33" s="4"/>
      <c r="J33" s="4"/>
      <c r="K33" s="99"/>
    </row>
    <row r="34" spans="2:11">
      <c r="B34" s="98"/>
      <c r="C34" s="4" t="s">
        <v>117</v>
      </c>
      <c r="D34" s="4"/>
      <c r="E34" s="4"/>
      <c r="F34" s="4"/>
      <c r="G34" s="4"/>
      <c r="H34" s="4"/>
      <c r="I34" s="4"/>
      <c r="J34" s="4"/>
      <c r="K34" s="99"/>
    </row>
    <row r="35" spans="2:11">
      <c r="B35" s="98"/>
      <c r="C35" s="4"/>
      <c r="D35" s="4"/>
      <c r="E35" s="4"/>
      <c r="F35" s="4"/>
      <c r="G35" s="4"/>
      <c r="H35" s="4"/>
      <c r="I35" s="4"/>
      <c r="J35" s="4"/>
      <c r="K35" s="99"/>
    </row>
    <row r="36" spans="2:11">
      <c r="B36" s="98"/>
      <c r="C36" s="4" t="s">
        <v>118</v>
      </c>
      <c r="D36" s="4"/>
      <c r="E36" s="4"/>
      <c r="F36" s="4"/>
      <c r="G36" s="4"/>
      <c r="H36" s="4"/>
      <c r="I36" s="4"/>
      <c r="J36" s="4"/>
      <c r="K36" s="99"/>
    </row>
    <row r="37" spans="2:11">
      <c r="B37" s="98"/>
      <c r="C37" s="4"/>
      <c r="D37" s="4"/>
      <c r="E37" s="4"/>
      <c r="F37" s="4"/>
      <c r="G37" s="4"/>
      <c r="H37" s="4"/>
      <c r="I37" s="4"/>
      <c r="J37" s="4"/>
      <c r="K37" s="99"/>
    </row>
    <row r="38" spans="2:11">
      <c r="B38" s="98"/>
      <c r="C38" s="4" t="s">
        <v>119</v>
      </c>
      <c r="D38" s="4"/>
      <c r="E38" s="4"/>
      <c r="F38" s="4"/>
      <c r="G38" s="4"/>
      <c r="H38" s="4"/>
      <c r="I38" s="4"/>
      <c r="J38" s="4"/>
      <c r="K38" s="99"/>
    </row>
    <row r="39" spans="2:11">
      <c r="B39" s="98"/>
      <c r="C39" s="4" t="s">
        <v>120</v>
      </c>
      <c r="D39" s="4"/>
      <c r="E39" s="4"/>
      <c r="F39" s="4"/>
      <c r="G39" s="4"/>
      <c r="H39" s="4"/>
      <c r="I39" s="4"/>
      <c r="J39" s="4"/>
      <c r="K39" s="99"/>
    </row>
    <row r="40" spans="2:11">
      <c r="B40" s="98"/>
      <c r="C40" s="4"/>
      <c r="D40" s="4"/>
      <c r="E40" s="4"/>
      <c r="F40" s="4"/>
      <c r="G40" s="4"/>
      <c r="H40" s="4"/>
      <c r="I40" s="4"/>
      <c r="J40" s="4"/>
      <c r="K40" s="99"/>
    </row>
    <row r="41" spans="2:11">
      <c r="B41" s="98"/>
      <c r="C41" s="4" t="s">
        <v>121</v>
      </c>
      <c r="D41" s="4"/>
      <c r="E41" s="4"/>
      <c r="F41" s="4"/>
      <c r="G41" s="4"/>
      <c r="H41" s="4"/>
      <c r="I41" s="4"/>
      <c r="J41" s="4"/>
      <c r="K41" s="99"/>
    </row>
    <row r="42" spans="2:11">
      <c r="B42" s="98"/>
      <c r="C42" s="4" t="s">
        <v>122</v>
      </c>
      <c r="D42" s="4"/>
      <c r="E42" s="4"/>
      <c r="F42" s="4"/>
      <c r="G42" s="4"/>
      <c r="H42" s="4"/>
      <c r="I42" s="4"/>
      <c r="J42" s="4"/>
      <c r="K42" s="99"/>
    </row>
    <row r="43" spans="2:11">
      <c r="B43" s="98"/>
      <c r="C43" s="4" t="s">
        <v>123</v>
      </c>
      <c r="D43" s="4"/>
      <c r="E43" s="4"/>
      <c r="F43" s="4"/>
      <c r="G43" s="4"/>
      <c r="H43" s="4"/>
      <c r="I43" s="4"/>
      <c r="J43" s="4"/>
      <c r="K43" s="99"/>
    </row>
    <row r="44" spans="2:11">
      <c r="B44" s="98"/>
      <c r="C44" s="4"/>
      <c r="D44" s="4"/>
      <c r="E44" s="4"/>
      <c r="F44" s="4"/>
      <c r="G44" s="4"/>
      <c r="H44" s="4"/>
      <c r="I44" s="4"/>
      <c r="J44" s="4"/>
      <c r="K44" s="99"/>
    </row>
    <row r="45" spans="2:11">
      <c r="B45" s="98"/>
      <c r="C45" s="4" t="s">
        <v>124</v>
      </c>
      <c r="D45" s="4"/>
      <c r="E45" s="4"/>
      <c r="F45" s="4"/>
      <c r="G45" s="4"/>
      <c r="H45" s="4"/>
      <c r="I45" s="4"/>
      <c r="J45" s="4"/>
      <c r="K45" s="99"/>
    </row>
    <row r="46" spans="2:11">
      <c r="B46" s="98"/>
      <c r="C46" s="4"/>
      <c r="D46" s="4"/>
      <c r="E46" s="4"/>
      <c r="F46" s="4"/>
      <c r="G46" s="4"/>
      <c r="H46" s="4"/>
      <c r="I46" s="4"/>
      <c r="J46" s="4"/>
      <c r="K46" s="99"/>
    </row>
    <row r="47" spans="2:11">
      <c r="B47" s="98"/>
      <c r="C47" s="4" t="s">
        <v>125</v>
      </c>
      <c r="D47" s="4"/>
      <c r="E47" s="4"/>
      <c r="F47" s="4"/>
      <c r="G47" s="4"/>
      <c r="H47" s="4"/>
      <c r="I47" s="4"/>
      <c r="J47" s="4"/>
      <c r="K47" s="99"/>
    </row>
    <row r="48" spans="2:11">
      <c r="B48" s="98"/>
      <c r="C48" s="4"/>
      <c r="D48" s="4"/>
      <c r="E48" s="4"/>
      <c r="F48" s="4"/>
      <c r="G48" s="4"/>
      <c r="H48" s="4"/>
      <c r="I48" s="4"/>
      <c r="J48" s="4"/>
      <c r="K48" s="99"/>
    </row>
    <row r="49" spans="2:11">
      <c r="B49" s="98"/>
      <c r="C49" s="4" t="s">
        <v>126</v>
      </c>
      <c r="D49" s="4"/>
      <c r="E49" s="4"/>
      <c r="F49" s="4"/>
      <c r="G49" s="4"/>
      <c r="H49" s="4"/>
      <c r="I49" s="4"/>
      <c r="J49" s="4"/>
      <c r="K49" s="99"/>
    </row>
    <row r="50" spans="2:11">
      <c r="B50" s="98"/>
      <c r="C50" s="4" t="s">
        <v>127</v>
      </c>
      <c r="D50" s="4"/>
      <c r="E50" s="4"/>
      <c r="F50" s="4"/>
      <c r="G50" s="4"/>
      <c r="H50" s="4"/>
      <c r="I50" s="4"/>
      <c r="J50" s="4"/>
      <c r="K50" s="99"/>
    </row>
    <row r="51" spans="2:11">
      <c r="B51" s="98"/>
      <c r="C51" s="4" t="s">
        <v>128</v>
      </c>
      <c r="D51" s="4"/>
      <c r="E51" s="4"/>
      <c r="F51" s="4"/>
      <c r="G51" s="4"/>
      <c r="H51" s="4"/>
      <c r="I51" s="4"/>
      <c r="J51" s="4"/>
      <c r="K51" s="99"/>
    </row>
    <row r="52" spans="2:11">
      <c r="B52" s="98"/>
      <c r="C52" s="4" t="s">
        <v>129</v>
      </c>
      <c r="D52" s="4"/>
      <c r="E52" s="4"/>
      <c r="F52" s="4"/>
      <c r="G52" s="4"/>
      <c r="H52" s="4"/>
      <c r="I52" s="4"/>
      <c r="J52" s="4"/>
      <c r="K52" s="99"/>
    </row>
    <row r="53" spans="2:11">
      <c r="B53" s="100"/>
      <c r="C53" s="101"/>
      <c r="D53" s="101"/>
      <c r="E53" s="101"/>
      <c r="F53" s="101"/>
      <c r="G53" s="101"/>
      <c r="H53" s="101"/>
      <c r="I53" s="101"/>
      <c r="J53" s="101"/>
      <c r="K53" s="102"/>
    </row>
  </sheetData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E37D-6075-49ED-B51B-E01B1688A461}">
  <sheetPr codeName="Sheet11"/>
  <dimension ref="A1:X37"/>
  <sheetViews>
    <sheetView topLeftCell="A6" zoomScale="145" zoomScaleNormal="145" workbookViewId="0">
      <selection activeCell="A6" sqref="A6"/>
    </sheetView>
  </sheetViews>
  <sheetFormatPr defaultRowHeight="10.5"/>
  <cols>
    <col min="1" max="1" width="3.5" style="9" customWidth="1"/>
    <col min="2" max="2" width="15.125" style="9" hidden="1" customWidth="1"/>
    <col min="3" max="3" width="95.5" style="9" hidden="1" customWidth="1"/>
    <col min="4" max="4" width="7.75" style="9" hidden="1" customWidth="1"/>
    <col min="5" max="5" width="9" style="9" customWidth="1"/>
    <col min="6" max="6" width="8" style="9" hidden="1" customWidth="1"/>
    <col min="7" max="7" width="8.375" style="9" hidden="1" customWidth="1"/>
    <col min="8" max="9" width="9" style="9" hidden="1" customWidth="1"/>
    <col min="10" max="11" width="10" style="42" customWidth="1"/>
    <col min="12" max="12" width="14" style="9" customWidth="1"/>
    <col min="13" max="20" width="9.875" style="9" customWidth="1"/>
    <col min="21" max="16384" width="9" style="9"/>
  </cols>
  <sheetData>
    <row r="1" spans="1:24" hidden="1">
      <c r="B1" s="11" t="s">
        <v>61</v>
      </c>
      <c r="C1" s="28" t="str">
        <f>IF(ISBLANK($B$1),"",共通設定値!$C$7&amp;IF(LEFT($B$1,1)="/",$B$1,"/"&amp;$B$1))</f>
        <v>http://localhost:8080/if1060</v>
      </c>
    </row>
    <row r="2" spans="1:24" hidden="1"/>
    <row r="3" spans="1:24" hidden="1">
      <c r="B3" s="11" t="s">
        <v>30</v>
      </c>
      <c r="C3" s="11" t="s">
        <v>31</v>
      </c>
    </row>
    <row r="4" spans="1:24" hidden="1">
      <c r="B4" s="29" t="s">
        <v>33</v>
      </c>
      <c r="C4" s="29" t="s">
        <v>37</v>
      </c>
    </row>
    <row r="5" spans="1:24" hidden="1"/>
    <row r="6" spans="1:24">
      <c r="J6" s="9"/>
      <c r="K6" s="9"/>
      <c r="O6" s="16"/>
      <c r="P6" s="16"/>
      <c r="Q6" s="16"/>
      <c r="R6" s="16"/>
      <c r="S6" s="16"/>
      <c r="T6" s="16"/>
      <c r="U6" s="16"/>
      <c r="V6" s="16"/>
      <c r="W6" s="16"/>
      <c r="X6" s="16"/>
    </row>
    <row r="7" spans="1:24">
      <c r="C7" s="31"/>
      <c r="F7" s="18"/>
      <c r="G7" s="18"/>
      <c r="O7" s="16"/>
      <c r="P7" s="16"/>
      <c r="Q7" s="16"/>
      <c r="R7" s="16"/>
      <c r="S7" s="16"/>
      <c r="T7" s="16"/>
      <c r="U7" s="16"/>
      <c r="V7" s="16"/>
      <c r="W7" s="16"/>
      <c r="X7" s="16"/>
    </row>
    <row r="8" spans="1:24">
      <c r="E8" s="20"/>
      <c r="F8" s="18"/>
      <c r="G8" s="17"/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1:24">
      <c r="E9" s="20" t="s">
        <v>136</v>
      </c>
      <c r="G9" s="15"/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1:24" ht="10.5" customHeight="1">
      <c r="A10" s="111" t="s">
        <v>16</v>
      </c>
      <c r="B10" s="121" t="s">
        <v>6</v>
      </c>
      <c r="C10" s="122"/>
      <c r="E10" s="116" t="s">
        <v>4</v>
      </c>
      <c r="F10" s="125" t="s">
        <v>15</v>
      </c>
      <c r="G10" s="40" t="s">
        <v>63</v>
      </c>
      <c r="H10" s="40" t="s">
        <v>138</v>
      </c>
      <c r="I10" s="41"/>
      <c r="J10" s="118" t="s">
        <v>91</v>
      </c>
      <c r="K10" s="118" t="s">
        <v>140</v>
      </c>
      <c r="L10" s="116" t="s">
        <v>65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1:24">
      <c r="A11" s="120"/>
      <c r="B11" s="123"/>
      <c r="C11" s="124"/>
      <c r="E11" s="117"/>
      <c r="F11" s="126"/>
      <c r="G11" s="106" t="s">
        <v>62</v>
      </c>
      <c r="H11" s="106" t="s">
        <v>139</v>
      </c>
      <c r="I11" s="41"/>
      <c r="J11" s="119" t="s">
        <v>64</v>
      </c>
      <c r="K11" s="119" t="s">
        <v>64</v>
      </c>
      <c r="L11" s="117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1:24" s="16" customFormat="1">
      <c r="A12" s="92">
        <f t="shared" ref="A12:A37" si="0">ROW()-11</f>
        <v>1</v>
      </c>
      <c r="B12" s="105" t="s">
        <v>143</v>
      </c>
      <c r="C12" s="105"/>
      <c r="D12" s="44"/>
      <c r="E12" s="13" t="s">
        <v>5</v>
      </c>
      <c r="F12" s="14" t="s">
        <v>142</v>
      </c>
      <c r="G12" s="39"/>
      <c r="H12" s="39"/>
      <c r="I12" s="44"/>
      <c r="J12" s="45" t="s">
        <v>131</v>
      </c>
      <c r="K12" s="45" t="s">
        <v>141</v>
      </c>
      <c r="L12" s="45" t="s">
        <v>144</v>
      </c>
    </row>
    <row r="13" spans="1:24" s="16" customFormat="1">
      <c r="A13" s="92">
        <f t="shared" si="0"/>
        <v>2</v>
      </c>
      <c r="B13" s="105" t="s">
        <v>146</v>
      </c>
      <c r="C13" s="105"/>
      <c r="D13" s="44"/>
      <c r="E13" s="13" t="s">
        <v>5</v>
      </c>
      <c r="F13" s="14" t="s">
        <v>145</v>
      </c>
      <c r="G13" s="39"/>
      <c r="H13" s="39"/>
      <c r="I13" s="44"/>
      <c r="J13" s="45"/>
      <c r="K13" s="45"/>
      <c r="L13" s="45"/>
    </row>
    <row r="14" spans="1:24" s="16" customFormat="1">
      <c r="A14" s="92">
        <f t="shared" si="0"/>
        <v>3</v>
      </c>
      <c r="B14" s="105" t="s">
        <v>148</v>
      </c>
      <c r="C14" s="105"/>
      <c r="D14" s="44"/>
      <c r="E14" s="13" t="s">
        <v>5</v>
      </c>
      <c r="F14" s="14" t="s">
        <v>147</v>
      </c>
      <c r="G14" s="39"/>
      <c r="H14" s="39"/>
      <c r="I14" s="44"/>
      <c r="J14" s="45"/>
      <c r="K14" s="45"/>
      <c r="L14" s="45"/>
    </row>
    <row r="15" spans="1:24" s="16" customFormat="1">
      <c r="A15" s="92">
        <f t="shared" si="0"/>
        <v>4</v>
      </c>
      <c r="B15" s="105" t="s">
        <v>150</v>
      </c>
      <c r="C15" s="105"/>
      <c r="D15" s="44"/>
      <c r="E15" s="13" t="s">
        <v>5</v>
      </c>
      <c r="F15" s="14" t="s">
        <v>149</v>
      </c>
      <c r="G15" s="39"/>
      <c r="H15" s="39"/>
      <c r="I15" s="44"/>
      <c r="J15" s="45"/>
      <c r="K15" s="45"/>
      <c r="L15" s="45"/>
    </row>
    <row r="16" spans="1:24" s="16" customFormat="1">
      <c r="A16" s="92">
        <f t="shared" si="0"/>
        <v>5</v>
      </c>
      <c r="B16" s="105" t="s">
        <v>152</v>
      </c>
      <c r="C16" s="105"/>
      <c r="D16" s="44"/>
      <c r="E16" s="13" t="s">
        <v>5</v>
      </c>
      <c r="F16" s="14" t="s">
        <v>151</v>
      </c>
      <c r="G16" s="39"/>
      <c r="H16" s="39"/>
      <c r="I16" s="44"/>
      <c r="J16" s="45"/>
      <c r="K16" s="45"/>
      <c r="L16" s="45"/>
    </row>
    <row r="17" spans="1:12" s="16" customFormat="1">
      <c r="A17" s="92">
        <f t="shared" si="0"/>
        <v>6</v>
      </c>
      <c r="B17" s="105" t="s">
        <v>154</v>
      </c>
      <c r="C17" s="105"/>
      <c r="D17" s="44"/>
      <c r="E17" s="13" t="s">
        <v>5</v>
      </c>
      <c r="F17" s="14" t="s">
        <v>153</v>
      </c>
      <c r="G17" s="39"/>
      <c r="H17" s="39"/>
      <c r="I17" s="44"/>
      <c r="J17" s="45"/>
      <c r="K17" s="45"/>
      <c r="L17" s="45"/>
    </row>
    <row r="18" spans="1:12" s="16" customFormat="1">
      <c r="A18" s="92">
        <f t="shared" si="0"/>
        <v>7</v>
      </c>
      <c r="B18" s="105" t="s">
        <v>156</v>
      </c>
      <c r="C18" s="105"/>
      <c r="D18" s="44"/>
      <c r="E18" s="13" t="s">
        <v>5</v>
      </c>
      <c r="F18" s="14" t="s">
        <v>155</v>
      </c>
      <c r="G18" s="39"/>
      <c r="H18" s="39"/>
      <c r="I18" s="44"/>
      <c r="J18" s="45"/>
      <c r="K18" s="45"/>
      <c r="L18" s="45"/>
    </row>
    <row r="19" spans="1:12" s="16" customFormat="1">
      <c r="A19" s="92">
        <f t="shared" si="0"/>
        <v>8</v>
      </c>
      <c r="B19" s="105" t="s">
        <v>158</v>
      </c>
      <c r="C19" s="105"/>
      <c r="D19" s="44"/>
      <c r="E19" s="13" t="s">
        <v>5</v>
      </c>
      <c r="F19" s="14" t="s">
        <v>157</v>
      </c>
      <c r="G19" s="39"/>
      <c r="H19" s="39"/>
      <c r="I19" s="44"/>
      <c r="J19" s="45"/>
      <c r="K19" s="45"/>
      <c r="L19" s="45"/>
    </row>
    <row r="20" spans="1:12" s="16" customFormat="1">
      <c r="A20" s="92">
        <f t="shared" si="0"/>
        <v>9</v>
      </c>
      <c r="B20" s="105" t="s">
        <v>160</v>
      </c>
      <c r="C20" s="105"/>
      <c r="D20" s="44"/>
      <c r="E20" s="13" t="s">
        <v>5</v>
      </c>
      <c r="F20" s="14" t="s">
        <v>159</v>
      </c>
      <c r="G20" s="39"/>
      <c r="H20" s="39"/>
      <c r="I20" s="44"/>
      <c r="J20" s="45"/>
      <c r="K20" s="45"/>
      <c r="L20" s="45"/>
    </row>
    <row r="21" spans="1:12" s="16" customFormat="1">
      <c r="A21" s="92">
        <f t="shared" si="0"/>
        <v>10</v>
      </c>
      <c r="B21" s="105" t="s">
        <v>162</v>
      </c>
      <c r="C21" s="105"/>
      <c r="D21" s="44"/>
      <c r="E21" s="13" t="s">
        <v>5</v>
      </c>
      <c r="F21" s="14" t="s">
        <v>161</v>
      </c>
      <c r="G21" s="39"/>
      <c r="H21" s="39"/>
      <c r="I21" s="44"/>
      <c r="J21" s="45"/>
      <c r="K21" s="45"/>
      <c r="L21" s="45"/>
    </row>
    <row r="22" spans="1:12" s="16" customFormat="1">
      <c r="A22" s="92">
        <f t="shared" si="0"/>
        <v>11</v>
      </c>
      <c r="B22" s="105" t="s">
        <v>164</v>
      </c>
      <c r="C22" s="105"/>
      <c r="D22" s="44"/>
      <c r="E22" s="13" t="s">
        <v>5</v>
      </c>
      <c r="F22" s="14" t="s">
        <v>163</v>
      </c>
      <c r="G22" s="39"/>
      <c r="H22" s="39"/>
      <c r="I22" s="44"/>
      <c r="J22" s="45"/>
      <c r="K22" s="45"/>
      <c r="L22" s="45"/>
    </row>
    <row r="23" spans="1:12" s="16" customFormat="1">
      <c r="A23" s="92">
        <f t="shared" si="0"/>
        <v>12</v>
      </c>
      <c r="B23" s="105" t="s">
        <v>166</v>
      </c>
      <c r="C23" s="105"/>
      <c r="D23" s="44"/>
      <c r="E23" s="13" t="s">
        <v>5</v>
      </c>
      <c r="F23" s="14" t="s">
        <v>165</v>
      </c>
      <c r="G23" s="39"/>
      <c r="H23" s="39"/>
      <c r="I23" s="44"/>
      <c r="J23" s="45"/>
      <c r="K23" s="45"/>
      <c r="L23" s="45"/>
    </row>
    <row r="24" spans="1:12" s="16" customFormat="1">
      <c r="A24" s="92">
        <f t="shared" si="0"/>
        <v>13</v>
      </c>
      <c r="B24" s="105" t="s">
        <v>168</v>
      </c>
      <c r="C24" s="105"/>
      <c r="D24" s="44"/>
      <c r="E24" s="13" t="s">
        <v>5</v>
      </c>
      <c r="F24" s="14" t="s">
        <v>167</v>
      </c>
      <c r="G24" s="39"/>
      <c r="H24" s="39"/>
      <c r="I24" s="44"/>
      <c r="J24" s="45"/>
      <c r="K24" s="45"/>
      <c r="L24" s="45"/>
    </row>
    <row r="25" spans="1:12" s="16" customFormat="1">
      <c r="A25" s="92">
        <f t="shared" si="0"/>
        <v>14</v>
      </c>
      <c r="B25" s="105" t="s">
        <v>170</v>
      </c>
      <c r="C25" s="105"/>
      <c r="D25" s="44"/>
      <c r="E25" s="13" t="s">
        <v>5</v>
      </c>
      <c r="F25" s="14" t="s">
        <v>169</v>
      </c>
      <c r="G25" s="39"/>
      <c r="H25" s="39"/>
      <c r="I25" s="44"/>
      <c r="J25" s="45"/>
      <c r="K25" s="45"/>
      <c r="L25" s="45"/>
    </row>
    <row r="26" spans="1:12" s="16" customFormat="1">
      <c r="A26" s="92">
        <f t="shared" si="0"/>
        <v>15</v>
      </c>
      <c r="B26" s="105" t="s">
        <v>172</v>
      </c>
      <c r="C26" s="105"/>
      <c r="D26" s="44"/>
      <c r="E26" s="13" t="s">
        <v>5</v>
      </c>
      <c r="F26" s="14" t="s">
        <v>171</v>
      </c>
      <c r="G26" s="39"/>
      <c r="H26" s="39"/>
      <c r="I26" s="44"/>
      <c r="J26" s="45"/>
      <c r="K26" s="45"/>
      <c r="L26" s="45"/>
    </row>
    <row r="27" spans="1:12" s="16" customFormat="1">
      <c r="A27" s="92">
        <f t="shared" si="0"/>
        <v>16</v>
      </c>
      <c r="B27" s="105" t="s">
        <v>174</v>
      </c>
      <c r="C27" s="105"/>
      <c r="D27" s="44"/>
      <c r="E27" s="13" t="s">
        <v>5</v>
      </c>
      <c r="F27" s="14" t="s">
        <v>173</v>
      </c>
      <c r="G27" s="39"/>
      <c r="H27" s="39"/>
      <c r="I27" s="44"/>
      <c r="J27" s="45"/>
      <c r="K27" s="45"/>
      <c r="L27" s="45"/>
    </row>
    <row r="28" spans="1:12" s="16" customFormat="1">
      <c r="A28" s="92">
        <f t="shared" si="0"/>
        <v>17</v>
      </c>
      <c r="B28" s="105" t="s">
        <v>176</v>
      </c>
      <c r="C28" s="105"/>
      <c r="D28" s="44"/>
      <c r="E28" s="13" t="s">
        <v>5</v>
      </c>
      <c r="F28" s="14" t="s">
        <v>175</v>
      </c>
      <c r="G28" s="39"/>
      <c r="H28" s="39"/>
      <c r="I28" s="44"/>
      <c r="J28" s="45"/>
      <c r="K28" s="45"/>
      <c r="L28" s="45"/>
    </row>
    <row r="29" spans="1:12" s="16" customFormat="1">
      <c r="A29" s="92">
        <f t="shared" si="0"/>
        <v>18</v>
      </c>
      <c r="B29" s="105" t="s">
        <v>178</v>
      </c>
      <c r="C29" s="105"/>
      <c r="D29" s="44"/>
      <c r="E29" s="13" t="s">
        <v>5</v>
      </c>
      <c r="F29" s="14" t="s">
        <v>177</v>
      </c>
      <c r="G29" s="39"/>
      <c r="H29" s="39"/>
      <c r="I29" s="44"/>
      <c r="J29" s="45"/>
      <c r="K29" s="45"/>
      <c r="L29" s="45"/>
    </row>
    <row r="30" spans="1:12" s="16" customFormat="1">
      <c r="A30" s="92">
        <f t="shared" si="0"/>
        <v>19</v>
      </c>
      <c r="B30" s="105" t="s">
        <v>180</v>
      </c>
      <c r="C30" s="105"/>
      <c r="D30" s="44"/>
      <c r="E30" s="13" t="s">
        <v>5</v>
      </c>
      <c r="F30" s="14" t="s">
        <v>179</v>
      </c>
      <c r="G30" s="39"/>
      <c r="H30" s="39"/>
      <c r="I30" s="44"/>
      <c r="J30" s="45"/>
      <c r="K30" s="45"/>
      <c r="L30" s="45"/>
    </row>
    <row r="31" spans="1:12" s="16" customFormat="1">
      <c r="A31" s="92">
        <f t="shared" si="0"/>
        <v>20</v>
      </c>
      <c r="B31" s="105" t="s">
        <v>182</v>
      </c>
      <c r="C31" s="105"/>
      <c r="D31" s="44"/>
      <c r="E31" s="13" t="s">
        <v>5</v>
      </c>
      <c r="F31" s="14" t="s">
        <v>181</v>
      </c>
      <c r="G31" s="39"/>
      <c r="H31" s="39"/>
      <c r="I31" s="44"/>
      <c r="J31" s="45"/>
      <c r="K31" s="45"/>
      <c r="L31" s="45"/>
    </row>
    <row r="32" spans="1:12" s="16" customFormat="1">
      <c r="A32" s="92">
        <f t="shared" si="0"/>
        <v>21</v>
      </c>
      <c r="B32" s="105" t="s">
        <v>184</v>
      </c>
      <c r="C32" s="105"/>
      <c r="D32" s="44"/>
      <c r="E32" s="13" t="s">
        <v>5</v>
      </c>
      <c r="F32" s="14" t="s">
        <v>183</v>
      </c>
      <c r="G32" s="39"/>
      <c r="H32" s="39"/>
      <c r="I32" s="44"/>
      <c r="J32" s="45"/>
      <c r="K32" s="45"/>
      <c r="L32" s="45"/>
    </row>
    <row r="33" spans="1:12" s="16" customFormat="1">
      <c r="A33" s="92">
        <f t="shared" si="0"/>
        <v>22</v>
      </c>
      <c r="B33" s="105" t="s">
        <v>186</v>
      </c>
      <c r="C33" s="105"/>
      <c r="D33" s="44"/>
      <c r="E33" s="13" t="s">
        <v>5</v>
      </c>
      <c r="F33" s="14" t="s">
        <v>185</v>
      </c>
      <c r="G33" s="39"/>
      <c r="H33" s="39"/>
      <c r="I33" s="44"/>
      <c r="J33" s="45"/>
      <c r="K33" s="45"/>
      <c r="L33" s="45"/>
    </row>
    <row r="34" spans="1:12" s="16" customFormat="1">
      <c r="A34" s="92">
        <f t="shared" si="0"/>
        <v>23</v>
      </c>
      <c r="B34" s="105" t="s">
        <v>188</v>
      </c>
      <c r="C34" s="105"/>
      <c r="D34" s="44"/>
      <c r="E34" s="13" t="s">
        <v>5</v>
      </c>
      <c r="F34" s="14" t="s">
        <v>187</v>
      </c>
      <c r="G34" s="39"/>
      <c r="H34" s="39"/>
      <c r="I34" s="44"/>
      <c r="J34" s="45"/>
      <c r="K34" s="45"/>
      <c r="L34" s="45"/>
    </row>
    <row r="35" spans="1:12" s="16" customFormat="1">
      <c r="A35" s="92">
        <f t="shared" si="0"/>
        <v>24</v>
      </c>
      <c r="B35" s="105" t="s">
        <v>190</v>
      </c>
      <c r="C35" s="105"/>
      <c r="D35" s="44"/>
      <c r="E35" s="13" t="s">
        <v>5</v>
      </c>
      <c r="F35" s="14" t="s">
        <v>189</v>
      </c>
      <c r="G35" s="39"/>
      <c r="H35" s="39"/>
      <c r="I35" s="44"/>
      <c r="J35" s="45"/>
      <c r="K35" s="45"/>
      <c r="L35" s="45"/>
    </row>
    <row r="36" spans="1:12" s="16" customFormat="1">
      <c r="A36" s="92">
        <f t="shared" si="0"/>
        <v>25</v>
      </c>
      <c r="B36" s="105" t="s">
        <v>192</v>
      </c>
      <c r="C36" s="105"/>
      <c r="D36" s="44"/>
      <c r="E36" s="13" t="s">
        <v>5</v>
      </c>
      <c r="F36" s="14" t="s">
        <v>191</v>
      </c>
      <c r="G36" s="39"/>
      <c r="H36" s="39"/>
      <c r="I36" s="44"/>
      <c r="J36" s="45"/>
      <c r="K36" s="45"/>
      <c r="L36" s="45"/>
    </row>
    <row r="37" spans="1:12" s="16" customFormat="1">
      <c r="A37" s="92">
        <f t="shared" si="0"/>
        <v>26</v>
      </c>
      <c r="B37" s="105" t="s">
        <v>194</v>
      </c>
      <c r="C37" s="105"/>
      <c r="D37" s="44"/>
      <c r="E37" s="13" t="s">
        <v>5</v>
      </c>
      <c r="F37" s="14" t="s">
        <v>193</v>
      </c>
      <c r="G37" s="39"/>
      <c r="H37" s="39"/>
      <c r="I37" s="44"/>
      <c r="J37" s="45"/>
      <c r="K37" s="45"/>
      <c r="L37" s="45"/>
    </row>
  </sheetData>
  <sheetProtection formatCells="0"/>
  <mergeCells count="7">
    <mergeCell ref="L10:L11"/>
    <mergeCell ref="A10:A11"/>
    <mergeCell ref="B10:C11"/>
    <mergeCell ref="E10:E11"/>
    <mergeCell ref="F10:F11"/>
    <mergeCell ref="J10:J11"/>
    <mergeCell ref="K10:K11"/>
  </mergeCells>
  <phoneticPr fontId="2"/>
  <dataValidations count="2">
    <dataValidation type="list" allowBlank="1" showInputMessage="1" showErrorMessage="1" sqref="E12:E37" xr:uid="{F805175F-0767-46EB-BB3F-D5098FDB205E}">
      <formula1>"○"</formula1>
    </dataValidation>
    <dataValidation type="list" allowBlank="1" showInputMessage="1" sqref="G8 G12:G37" xr:uid="{61013B6E-3A58-4A63-AF24-59FB4F637DAF}">
      <formula1>"(null)"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>
    <oddHeader>&amp;C&amp;A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sendDenbunCMU460">
                <anchor moveWithCells="1" sizeWithCells="1">
                  <from>
                    <xdr:col>4</xdr:col>
                    <xdr:colOff>9525</xdr:colOff>
                    <xdr:row>4</xdr:row>
                    <xdr:rowOff>123825</xdr:rowOff>
                  </from>
                  <to>
                    <xdr:col>4</xdr:col>
                    <xdr:colOff>600075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0601CF4-CC56-40A8-9BD2-08F22E2A4106}">
          <x14:formula1>
            <xm:f>項目名!$C$3:$C$4</xm:f>
          </x14:formula1>
          <xm:sqref>C4</xm:sqref>
        </x14:dataValidation>
        <x14:dataValidation type="list" allowBlank="1" showInputMessage="1" showErrorMessage="1" xr:uid="{EC317835-B1A8-4FAC-B01B-EB3C1689D46C}">
          <x14:formula1>
            <xm:f>項目名!$B$3:$B$4</xm:f>
          </x14:formula1>
          <xm:sqref>B4</xm:sqref>
        </x14:dataValidation>
        <x14:dataValidation type="list" allowBlank="1" showInputMessage="1" xr:uid="{E18E0885-043C-4EAD-8B3D-0427813BD315}">
          <x14:formula1>
            <xm:f>項目名!$D$3:$D$5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共通設定値</vt:lpstr>
      <vt:lpstr>使用方法</vt:lpstr>
      <vt:lpstr>★テンプレート</vt:lpstr>
      <vt:lpstr>項目名</vt:lpstr>
      <vt:lpstr>変更履歴</vt:lpstr>
      <vt:lpstr>手順</vt:lpstr>
      <vt:lpstr>ハッシュ値生成</vt:lpstr>
      <vt:lpstr>server.xml</vt:lpstr>
      <vt:lpstr>ハッシュ値生成_bk</vt:lpstr>
      <vt:lpstr>変更履歴!Print_Area</vt:lpstr>
      <vt:lpstr>変更履歴!Print_Titles</vt:lpstr>
    </vt:vector>
  </TitlesOfParts>
  <Company>日立ソフト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miyazaki</dc:creator>
  <cp:lastModifiedBy>hisol</cp:lastModifiedBy>
  <dcterms:created xsi:type="dcterms:W3CDTF">2008-07-17T05:20:27Z</dcterms:created>
  <dcterms:modified xsi:type="dcterms:W3CDTF">2020-01-06T07:35:40Z</dcterms:modified>
</cp:coreProperties>
</file>